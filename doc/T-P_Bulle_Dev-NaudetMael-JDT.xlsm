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C:\Users\m01\Documents\github\Flashcards-P_Bulle\doc\"/>
    </mc:Choice>
  </mc:AlternateContent>
  <xr:revisionPtr revIDLastSave="0" documentId="13_ncr:1_{CD22A567-0ABB-4974-98F0-188C1AFB15B2}" xr6:coauthVersionLast="47" xr6:coauthVersionMax="47" xr10:uidLastSave="{00000000-0000-0000-0000-000000000000}"/>
  <bookViews>
    <workbookView xWindow="-110" yWindow="-110" windowWidth="25820" windowHeight="1550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5" l="1"/>
  <c r="B151" i="155"/>
  <c r="D153" i="155"/>
  <c r="D115" i="155"/>
  <c r="D96" i="155"/>
  <c r="D77" i="155"/>
  <c r="D58" i="155"/>
  <c r="D39" i="155"/>
  <c r="D20" i="155"/>
  <c r="D1" i="155"/>
  <c r="B170" i="155"/>
  <c r="B132" i="155"/>
  <c r="B113" i="155"/>
  <c r="B94" i="155"/>
  <c r="B75" i="155"/>
  <c r="B56" i="155"/>
  <c r="B37" i="155"/>
  <c r="B18" i="155"/>
  <c r="B18" i="154"/>
  <c r="B13" i="11" l="1"/>
</calcChain>
</file>

<file path=xl/sharedStrings.xml><?xml version="1.0" encoding="utf-8"?>
<sst xmlns="http://schemas.openxmlformats.org/spreadsheetml/2006/main" count="208" uniqueCount="94">
  <si>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</si>
  <si>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</si>
  <si>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</si>
  <si>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</si>
  <si>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</si>
  <si>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</si>
  <si>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</si>
  <si>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</si>
  <si>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</si>
  <si>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</si>
  <si>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</si>
  <si>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</si>
  <si>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</si>
  <si>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</si>
  <si>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</si>
  <si>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</si>
  <si>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</si>
  <si>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</si>
  <si>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</si>
  <si>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</si>
  <si>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</si>
  <si>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</si>
  <si>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</si>
  <si>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</si>
  <si>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Maël Naudet</t>
  </si>
  <si>
    <t>Avenue de Valmont 28b, Lausanne</t>
  </si>
  <si>
    <t>FID2</t>
  </si>
  <si>
    <t>P_Bulle - Flashcards</t>
  </si>
  <si>
    <t>Max. 12</t>
  </si>
  <si>
    <t>Initialisation</t>
  </si>
  <si>
    <t>Initialisation du projet</t>
  </si>
  <si>
    <t>Modèle</t>
  </si>
  <si>
    <t>Modèle de données</t>
  </si>
  <si>
    <t>Création et validation du modèle de données utilisé</t>
  </si>
  <si>
    <t>Créations des modèles et des migrations du backend</t>
  </si>
  <si>
    <t>Routes</t>
  </si>
  <si>
    <t>Réflexion sur les routes à implémenter</t>
  </si>
  <si>
    <t>Création des routes et début des controllers</t>
  </si>
  <si>
    <t>Page d'accueil</t>
  </si>
  <si>
    <t>Lecture des steps donnés par l'enseignant + adaptation au projet actuel</t>
  </si>
  <si>
    <t>Style du header + du footer</t>
  </si>
  <si>
    <t>Seeders</t>
  </si>
  <si>
    <t>Ajout de seeders pour les users et les decks</t>
  </si>
  <si>
    <t>Création du body de la page d'accueil</t>
  </si>
  <si>
    <t>Début de la page de deck (connexion faite, plus qu'à implémenter le système de cartes)</t>
  </si>
  <si>
    <t>Autre</t>
  </si>
  <si>
    <t>Informations decks</t>
  </si>
  <si>
    <t>Création d'un nouveau projet adonis afin d'avoir la bonne authentification en mode cookie et pas en mode token. Transfert de tout ce qui a été fait du mauvais projet au bon</t>
  </si>
  <si>
    <t>Ajout d'un bouton de delete pour chaque deck qui permet d'effacer le deck dans la page d'accueil</t>
  </si>
  <si>
    <t>Création de decks</t>
  </si>
  <si>
    <t>Création d'une page d'ajout de deck. Il est maintenant possible de créer un deck en indiquant un titre et s'il est public ou non. L'utilisateur par défaut est le 1 cela sera implémenté plus tard. Le style n'a pas du tout été fait.</t>
  </si>
  <si>
    <t>Modification de decks</t>
  </si>
  <si>
    <t>Création d'une page de modification de deck. Et factorisation des formulaires de création et de modification qui était très similaire</t>
  </si>
  <si>
    <t>Création du login directement dans le header pour suivre plus facilement le cours cela va être arrangé plus tard</t>
  </si>
  <si>
    <t>Création du logout également directement dans le header</t>
  </si>
  <si>
    <t>Droits utilisateurs</t>
  </si>
  <si>
    <t>Authentification</t>
  </si>
  <si>
    <t>Modification de la page pour que ça prenne automatiquement l'utilisateur authentifié</t>
  </si>
  <si>
    <t>Création de droits utilisateurs un peu sur toute la page, fin des étapes de l'application exemple.</t>
  </si>
  <si>
    <t>CRUD cards</t>
  </si>
  <si>
    <t xml:space="preserve">Le crud des cards en elle-même a été fait. Il est donc possible de créer des cartes directement rattachées à un deck, de modifier ces cartes et les supprimer. </t>
  </si>
  <si>
    <t>Decks par utilisateur</t>
  </si>
  <si>
    <t>Ajout d'une page qui montre tous les decks de l'utilisateur connecté. Il est possible de faire plusieurs actions dans cete page directement liées aux decks</t>
  </si>
  <si>
    <t>Fixe un bug qui empêchait les utilisateurs non authentifié de pouvoir voir en détail les decks et il est maintenant impossible de modifier, supprimer le deck de quelqu'un d'autre que l'utilisateur authentifié, hormis s'il est administrateur.</t>
  </si>
  <si>
    <t>Publication</t>
  </si>
  <si>
    <t>Ajout de la fonctionnalité de publication et dépublication dans la liste des decks. Aucune confirmation pour l'instant, cela sera ajouté plus tard.</t>
  </si>
  <si>
    <t>Fixe d'un bug qui ne permettait pas aux administrateurs de faire ce qu'il veut sur les decks d'un autre utilisateur</t>
  </si>
  <si>
    <t>Fixe d'un accès aux decks non publiés d'un autre utilisateur que celui non connecté. Fixe également des bons middlewares à utiliser dans toutes les routes</t>
  </si>
  <si>
    <t>Il est maintenant possible de publier un deck dans la page de détails du deck</t>
  </si>
  <si>
    <t>Jouer</t>
  </si>
  <si>
    <t>Jouer un deck</t>
  </si>
  <si>
    <t>Début pour jouer au jeu</t>
  </si>
  <si>
    <t>Maladie</t>
  </si>
  <si>
    <t>Essais infructueux sur la création de variables en sessions afin de gérer le jeu. Lecture de la documentation AdonisJS, recherche sur stackoverflow, demande à ChatGPT d'instruire sur le système de session sans succès.</t>
  </si>
  <si>
    <t>Reprise à zéro de cette partie de l'application et demande à l'IA de l'aide sur ce qui a déjà été fait, surtout de la correction.</t>
  </si>
  <si>
    <t>Il est maintenant possible de voir une carte la retourner et indiquer si c'est correct ou non.</t>
  </si>
  <si>
    <t>Ajout de vraies cartes dans le seeder afin d'avoir des vrais decks</t>
  </si>
  <si>
    <t>Ajout de la fonctionnalité de pouvoir créer un compte et ajout d'une confirmation de mot de passe</t>
  </si>
  <si>
    <t>confirmation : https://vinejs.dev/docs/types/string#confirmed</t>
  </si>
  <si>
    <t>Langue</t>
  </si>
  <si>
    <t>https://docs.adonisjs.com/guides/digging-deeper/i18n</t>
  </si>
  <si>
    <t>Changement de la langue des messages d'erreurs dans les forms d'authentification</t>
  </si>
  <si>
    <t>Changement de la langue des messages d'erreurs dans les forms des decks et des cartes</t>
  </si>
  <si>
    <t>Fixe un bug qui faisait planter le serveur quand on ajoutait une carte avec les mauvaises validations (ex : question à 1 caractère)</t>
  </si>
  <si>
    <t>Changer la langue pour un problème d'authentification (mdp ou username incorrects)</t>
  </si>
  <si>
    <t>Style</t>
  </si>
  <si>
    <t>Création d'un style pour le header et le footer</t>
  </si>
  <si>
    <t>Ajout du style pour les formulaires de connexion et d'inscription</t>
  </si>
  <si>
    <t>Style de la home page</t>
  </si>
  <si>
    <t>Style de la page d'informations des decks et de la page de liste des decks par personne</t>
  </si>
  <si>
    <t>Max. 19</t>
  </si>
  <si>
    <t>Style des formulaires des cartes et des decks (création et modification de ces derniers)</t>
  </si>
  <si>
    <t>Il n'est plus possible de jouer un deck qui n'a aucune carte (en tout cas pas depuis la page de show)</t>
  </si>
  <si>
    <t>Style de la page de jeu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</si>
</sst>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6"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2"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cellXfs>
  <cellStyles count="4">
    <cellStyle name="Hyperlink"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1</xdr:row>
          <xdr:rowOff>165100</xdr:rowOff>
        </xdr:from>
        <xdr:to>
          <xdr:col>6</xdr:col>
          <xdr:colOff>76200</xdr:colOff>
          <xdr:row>3</xdr:row>
          <xdr:rowOff>203200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95250</xdr:colOff>
          <xdr:row>7</xdr:row>
          <xdr:rowOff>50800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docs.adonisjs.com/guides/digging-deeper/i18n"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34" sqref="C34"/>
    </sheetView>
  </sheetViews>
  <sheetFormatPr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27</v>
      </c>
      <c r="D3" s="59"/>
      <c r="E3" s="59"/>
      <c r="F3" s="59"/>
      <c r="G3" s="60"/>
    </row>
    <row r="4" spans="1:7" ht="20.5" x14ac:dyDescent="0.25">
      <c r="A4" s="58"/>
      <c r="B4" s="63" t="s">
        <v>4</v>
      </c>
      <c r="C4" s="64" t="s">
        <v>24</v>
      </c>
      <c r="D4" s="59"/>
      <c r="E4" s="59"/>
      <c r="F4" s="59"/>
      <c r="G4" s="60"/>
    </row>
    <row r="5" spans="1:7" ht="20.5" x14ac:dyDescent="0.25">
      <c r="A5" s="58"/>
      <c r="B5" s="63" t="s">
        <v>1</v>
      </c>
      <c r="C5" s="64" t="s">
        <v>26</v>
      </c>
      <c r="D5" s="59"/>
      <c r="E5" s="59"/>
      <c r="F5" s="59"/>
      <c r="G5" s="60"/>
    </row>
    <row r="6" spans="1:7" ht="21" thickBot="1" x14ac:dyDescent="0.3">
      <c r="A6" s="58"/>
      <c r="B6" s="65" t="s">
        <v>2</v>
      </c>
      <c r="C6" s="66" t="s">
        <v>25</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45964</v>
      </c>
      <c r="D9" s="59"/>
      <c r="E9" s="59"/>
      <c r="F9" s="59"/>
      <c r="G9" s="60"/>
    </row>
    <row r="10" spans="1:7" ht="20.5" x14ac:dyDescent="0.25">
      <c r="A10" s="58"/>
      <c r="B10" s="68" t="s">
        <v>8</v>
      </c>
      <c r="C10" s="69">
        <v>46027</v>
      </c>
      <c r="D10" s="59"/>
      <c r="E10" s="59"/>
      <c r="F10" s="59"/>
      <c r="G10" s="60"/>
    </row>
    <row r="11" spans="1:7" ht="20.5" x14ac:dyDescent="0.25">
      <c r="A11" s="58"/>
      <c r="B11" s="68" t="s">
        <v>10</v>
      </c>
      <c r="C11" s="70">
        <v>8</v>
      </c>
      <c r="D11" s="59"/>
      <c r="E11" s="59"/>
      <c r="F11" s="59"/>
      <c r="G11" s="60"/>
    </row>
    <row r="12" spans="1:7" ht="20.5" x14ac:dyDescent="0.25">
      <c r="A12" s="58"/>
      <c r="B12" s="63" t="s">
        <v>11</v>
      </c>
      <c r="C12" s="71">
        <v>4</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2" t="s">
        <v>19</v>
      </c>
      <c r="C19" s="93"/>
      <c r="D19" s="59"/>
      <c r="E19" s="59"/>
      <c r="F19" s="59"/>
      <c r="G19" s="60"/>
    </row>
    <row r="20" spans="1:7" ht="20.5" x14ac:dyDescent="0.25">
      <c r="A20" s="78"/>
      <c r="B20" s="79" t="s">
        <v>20</v>
      </c>
      <c r="C20" s="80" t="s">
        <v>21</v>
      </c>
      <c r="D20" s="59"/>
      <c r="E20" s="59"/>
      <c r="F20" s="59"/>
      <c r="G20" s="60"/>
    </row>
    <row r="21" spans="1:7" ht="20.5" x14ac:dyDescent="0.25">
      <c r="A21" s="78"/>
      <c r="B21" s="79">
        <v>1</v>
      </c>
      <c r="C21" s="69" t="s">
        <v>45</v>
      </c>
      <c r="D21" s="59"/>
      <c r="E21" s="59"/>
      <c r="F21" s="59"/>
      <c r="G21" s="60"/>
    </row>
    <row r="22" spans="1:7" ht="20.5" x14ac:dyDescent="0.25">
      <c r="A22" s="78"/>
      <c r="B22" s="79">
        <v>2</v>
      </c>
      <c r="C22" s="70" t="s">
        <v>38</v>
      </c>
      <c r="D22" s="59"/>
      <c r="E22" s="59"/>
      <c r="F22" s="59"/>
      <c r="G22" s="60"/>
    </row>
    <row r="23" spans="1:7" ht="20.5" x14ac:dyDescent="0.25">
      <c r="A23" s="78"/>
      <c r="B23" s="81">
        <v>3</v>
      </c>
      <c r="C23" s="70" t="s">
        <v>46</v>
      </c>
      <c r="D23" s="59"/>
      <c r="E23" s="59"/>
      <c r="F23" s="59"/>
      <c r="G23" s="60"/>
    </row>
    <row r="24" spans="1:7" ht="20.5" x14ac:dyDescent="0.25">
      <c r="A24" s="78"/>
      <c r="B24" s="79">
        <v>4</v>
      </c>
      <c r="C24" s="70" t="s">
        <v>49</v>
      </c>
      <c r="D24" s="59"/>
      <c r="E24" s="59"/>
      <c r="F24" s="59"/>
      <c r="G24" s="60"/>
    </row>
    <row r="25" spans="1:7" ht="20.5" x14ac:dyDescent="0.25">
      <c r="A25" s="78"/>
      <c r="B25" s="79">
        <v>5</v>
      </c>
      <c r="C25" s="70" t="s">
        <v>51</v>
      </c>
      <c r="D25" s="59"/>
      <c r="E25" s="59"/>
      <c r="F25" s="59"/>
      <c r="G25" s="60"/>
    </row>
    <row r="26" spans="1:7" ht="20.5" x14ac:dyDescent="0.25">
      <c r="A26" s="78"/>
      <c r="B26" s="81">
        <v>6</v>
      </c>
      <c r="C26" s="70" t="s">
        <v>56</v>
      </c>
      <c r="D26" s="59"/>
      <c r="E26" s="59"/>
      <c r="F26" s="59"/>
      <c r="G26" s="60"/>
    </row>
    <row r="27" spans="1:7" ht="20.5" x14ac:dyDescent="0.25">
      <c r="A27" s="78"/>
      <c r="B27" s="79">
        <v>7</v>
      </c>
      <c r="C27" s="70" t="s">
        <v>55</v>
      </c>
      <c r="D27" s="59"/>
      <c r="E27" s="59"/>
      <c r="F27" s="59"/>
      <c r="G27" s="60"/>
    </row>
    <row r="28" spans="1:7" ht="20.5" x14ac:dyDescent="0.25">
      <c r="A28" s="78"/>
      <c r="B28" s="79">
        <v>8</v>
      </c>
      <c r="C28" s="71" t="s">
        <v>59</v>
      </c>
      <c r="D28" s="59"/>
      <c r="E28" s="59"/>
      <c r="F28" s="59"/>
      <c r="G28" s="60"/>
    </row>
    <row r="29" spans="1:7" ht="20.5" x14ac:dyDescent="0.25">
      <c r="A29" s="78"/>
      <c r="B29" s="81">
        <v>9</v>
      </c>
      <c r="C29" s="71" t="s">
        <v>61</v>
      </c>
      <c r="D29" s="59"/>
      <c r="E29" s="59"/>
      <c r="F29" s="59"/>
      <c r="G29" s="60"/>
    </row>
    <row r="30" spans="1:7" ht="20.5" x14ac:dyDescent="0.25">
      <c r="A30" s="78"/>
      <c r="B30" s="79">
        <v>10</v>
      </c>
      <c r="C30" s="70" t="s">
        <v>64</v>
      </c>
      <c r="D30" s="59"/>
      <c r="E30" s="59"/>
      <c r="F30" s="59"/>
      <c r="G30" s="60"/>
    </row>
    <row r="31" spans="1:7" ht="20.5" x14ac:dyDescent="0.25">
      <c r="A31" s="78"/>
      <c r="B31" s="79">
        <v>11</v>
      </c>
      <c r="C31" s="70" t="s">
        <v>70</v>
      </c>
      <c r="D31" s="59"/>
      <c r="E31" s="59"/>
      <c r="F31" s="59"/>
      <c r="G31" s="60"/>
    </row>
    <row r="32" spans="1:7" ht="20.5" x14ac:dyDescent="0.25">
      <c r="A32" s="78"/>
      <c r="B32" s="81">
        <v>12</v>
      </c>
      <c r="C32" s="70" t="s">
        <v>79</v>
      </c>
      <c r="D32" s="59"/>
      <c r="E32" s="59"/>
      <c r="F32" s="59"/>
      <c r="G32" s="60"/>
    </row>
    <row r="33" spans="1:7" ht="20.5" x14ac:dyDescent="0.25">
      <c r="A33" s="78"/>
      <c r="B33" s="79">
        <v>13</v>
      </c>
      <c r="C33" s="70" t="s">
        <v>85</v>
      </c>
      <c r="D33" s="59"/>
      <c r="E33" s="59"/>
      <c r="F33" s="59"/>
      <c r="G33" s="60"/>
    </row>
    <row r="34" spans="1:7" ht="20.5" x14ac:dyDescent="0.25">
      <c r="A34" s="78"/>
      <c r="B34" s="79">
        <v>14</v>
      </c>
      <c r="C34" s="71"/>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12700</xdr:colOff>
                <xdr:row>5</xdr:row>
                <xdr:rowOff>12700</xdr:rowOff>
              </from>
              <to>
                <xdr:col>6</xdr:col>
                <xdr:colOff>95250</xdr:colOff>
                <xdr:row>7</xdr:row>
                <xdr:rowOff>50800</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1</xdr:row>
                <xdr:rowOff>165100</xdr:rowOff>
              </from>
              <to>
                <xdr:col>6</xdr:col>
                <xdr:colOff>76200</xdr:colOff>
                <xdr:row>3</xdr:row>
                <xdr:rowOff>203200</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12700</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4" t="s">
        <v>21</v>
      </c>
      <c r="C3" s="16">
        <v>0</v>
      </c>
    </row>
    <row r="4" spans="1:4" ht="19.5" customHeight="1" x14ac:dyDescent="0.25">
      <c r="A4" s="19"/>
      <c r="B4" s="95"/>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defaultColWidth="10.90625"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C63B-705A-42F1-A1F0-A4E33D263260}">
  <sheetPr codeName="Feuil9"/>
  <dimension ref="A1:H171"/>
  <sheetViews>
    <sheetView tabSelected="1" topLeftCell="A117" workbookViewId="0">
      <selection activeCell="C149" sqref="C149"/>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45964</v>
      </c>
    </row>
    <row r="2" spans="1:4" ht="23.5" thickBot="1" x14ac:dyDescent="0.3">
      <c r="A2" s="45" t="s">
        <v>3</v>
      </c>
      <c r="B2" s="46" t="s">
        <v>15</v>
      </c>
      <c r="C2" s="45" t="s">
        <v>7</v>
      </c>
      <c r="D2" s="45" t="s">
        <v>13</v>
      </c>
    </row>
    <row r="3" spans="1:4" s="52" customFormat="1" x14ac:dyDescent="0.25">
      <c r="A3" s="87" t="s">
        <v>29</v>
      </c>
      <c r="B3" s="4">
        <v>2</v>
      </c>
      <c r="C3" s="88" t="s">
        <v>30</v>
      </c>
      <c r="D3" s="9"/>
    </row>
    <row r="4" spans="1:4" s="52" customFormat="1" x14ac:dyDescent="0.25">
      <c r="A4" s="89" t="s">
        <v>32</v>
      </c>
      <c r="B4" s="2">
        <v>2</v>
      </c>
      <c r="C4" s="90" t="s">
        <v>33</v>
      </c>
      <c r="D4" s="10"/>
    </row>
    <row r="5" spans="1:4" s="52" customFormat="1" x14ac:dyDescent="0.25">
      <c r="A5" s="89" t="s">
        <v>31</v>
      </c>
      <c r="B5" s="2">
        <v>4</v>
      </c>
      <c r="C5" s="90" t="s">
        <v>34</v>
      </c>
      <c r="D5" s="10"/>
    </row>
    <row r="6" spans="1:4" s="52" customFormat="1" x14ac:dyDescent="0.25">
      <c r="A6" s="89" t="s">
        <v>35</v>
      </c>
      <c r="B6" s="2">
        <v>2</v>
      </c>
      <c r="C6" s="90" t="s">
        <v>36</v>
      </c>
      <c r="D6" s="10"/>
    </row>
    <row r="7" spans="1:4" s="52" customFormat="1" x14ac:dyDescent="0.25">
      <c r="A7" s="89" t="s">
        <v>35</v>
      </c>
      <c r="B7" s="2">
        <v>2</v>
      </c>
      <c r="C7" s="90" t="s">
        <v>37</v>
      </c>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12</v>
      </c>
      <c r="C18" s="86" t="s">
        <v>28</v>
      </c>
      <c r="D18" s="48"/>
    </row>
    <row r="19" spans="1:8" ht="13" thickBot="1" x14ac:dyDescent="0.3">
      <c r="A19" s="49"/>
      <c r="B19" s="49"/>
      <c r="C19" s="49"/>
      <c r="D19" s="49"/>
    </row>
    <row r="20" spans="1:8" ht="18" thickBot="1" x14ac:dyDescent="0.3">
      <c r="A20" s="42" t="s">
        <v>14</v>
      </c>
      <c r="B20" s="43">
        <v>2</v>
      </c>
      <c r="C20" s="44" t="s">
        <v>23</v>
      </c>
      <c r="D20" s="53">
        <f>$D$1+7</f>
        <v>45971</v>
      </c>
    </row>
    <row r="21" spans="1:8" ht="23.5" thickBot="1" x14ac:dyDescent="0.3">
      <c r="A21" s="45" t="s">
        <v>3</v>
      </c>
      <c r="B21" s="46" t="s">
        <v>15</v>
      </c>
      <c r="C21" s="45" t="s">
        <v>7</v>
      </c>
      <c r="D21" s="45" t="s">
        <v>13</v>
      </c>
    </row>
    <row r="22" spans="1:8" x14ac:dyDescent="0.25">
      <c r="A22" s="87" t="s">
        <v>38</v>
      </c>
      <c r="B22" s="4">
        <v>3</v>
      </c>
      <c r="C22" s="88" t="s">
        <v>39</v>
      </c>
      <c r="D22" s="9"/>
    </row>
    <row r="23" spans="1:8" x14ac:dyDescent="0.25">
      <c r="A23" s="89" t="s">
        <v>38</v>
      </c>
      <c r="B23" s="2">
        <v>3</v>
      </c>
      <c r="C23" s="90" t="s">
        <v>40</v>
      </c>
      <c r="D23" s="10"/>
    </row>
    <row r="24" spans="1:8" x14ac:dyDescent="0.25">
      <c r="A24" s="89" t="s">
        <v>41</v>
      </c>
      <c r="B24" s="2">
        <v>1</v>
      </c>
      <c r="C24" s="90" t="s">
        <v>42</v>
      </c>
      <c r="D24" s="10"/>
    </row>
    <row r="25" spans="1:8" ht="12.75" customHeight="1" x14ac:dyDescent="0.25">
      <c r="A25" s="89" t="s">
        <v>38</v>
      </c>
      <c r="B25" s="2">
        <v>2</v>
      </c>
      <c r="C25" s="90" t="s">
        <v>43</v>
      </c>
      <c r="D25" s="10"/>
      <c r="F25" s="31"/>
      <c r="G25" s="32"/>
      <c r="H25" s="33"/>
    </row>
    <row r="26" spans="1:8" ht="15" x14ac:dyDescent="0.25">
      <c r="A26" s="89" t="s">
        <v>46</v>
      </c>
      <c r="B26" s="2">
        <v>3</v>
      </c>
      <c r="C26" s="90" t="s">
        <v>44</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12</v>
      </c>
      <c r="C37" s="86" t="s">
        <v>28</v>
      </c>
      <c r="D37" s="48"/>
    </row>
    <row r="38" spans="1:8" ht="13" thickBot="1" x14ac:dyDescent="0.3">
      <c r="A38" s="49"/>
      <c r="B38" s="49"/>
      <c r="C38" s="49"/>
      <c r="D38" s="49"/>
    </row>
    <row r="39" spans="1:8" ht="18" thickBot="1" x14ac:dyDescent="0.3">
      <c r="A39" s="42" t="s">
        <v>14</v>
      </c>
      <c r="B39" s="43">
        <v>3</v>
      </c>
      <c r="C39" s="44" t="s">
        <v>23</v>
      </c>
      <c r="D39" s="53">
        <f>$D$20+7</f>
        <v>45978</v>
      </c>
    </row>
    <row r="40" spans="1:8" ht="23.5" thickBot="1" x14ac:dyDescent="0.3">
      <c r="A40" s="45" t="s">
        <v>3</v>
      </c>
      <c r="B40" s="46" t="s">
        <v>15</v>
      </c>
      <c r="C40" s="45" t="s">
        <v>7</v>
      </c>
      <c r="D40" s="45" t="s">
        <v>13</v>
      </c>
    </row>
    <row r="41" spans="1:8" ht="25" x14ac:dyDescent="0.25">
      <c r="A41" s="87" t="s">
        <v>45</v>
      </c>
      <c r="B41" s="4">
        <v>1</v>
      </c>
      <c r="C41" s="88" t="s">
        <v>47</v>
      </c>
      <c r="D41" s="9"/>
    </row>
    <row r="42" spans="1:8" ht="25" x14ac:dyDescent="0.25">
      <c r="A42" s="1" t="s">
        <v>38</v>
      </c>
      <c r="B42" s="2">
        <v>2</v>
      </c>
      <c r="C42" s="90" t="s">
        <v>48</v>
      </c>
      <c r="D42" s="10"/>
    </row>
    <row r="43" spans="1:8" ht="37.5" x14ac:dyDescent="0.25">
      <c r="A43" s="1" t="s">
        <v>49</v>
      </c>
      <c r="B43" s="2">
        <v>2</v>
      </c>
      <c r="C43" s="90" t="s">
        <v>50</v>
      </c>
      <c r="D43" s="10"/>
    </row>
    <row r="44" spans="1:8" ht="25" x14ac:dyDescent="0.25">
      <c r="A44" s="1" t="s">
        <v>51</v>
      </c>
      <c r="B44" s="2">
        <v>2</v>
      </c>
      <c r="C44" s="90" t="s">
        <v>52</v>
      </c>
      <c r="D44" s="10"/>
    </row>
    <row r="45" spans="1:8" ht="25" x14ac:dyDescent="0.25">
      <c r="A45" s="89" t="s">
        <v>56</v>
      </c>
      <c r="B45" s="2">
        <v>2</v>
      </c>
      <c r="C45" s="90" t="s">
        <v>53</v>
      </c>
      <c r="D45" s="10"/>
    </row>
    <row r="46" spans="1:8" x14ac:dyDescent="0.25">
      <c r="A46" s="89" t="s">
        <v>56</v>
      </c>
      <c r="B46" s="2">
        <v>1</v>
      </c>
      <c r="C46" s="90" t="s">
        <v>54</v>
      </c>
      <c r="D46" s="10"/>
    </row>
    <row r="47" spans="1:8" x14ac:dyDescent="0.25">
      <c r="A47" s="89" t="s">
        <v>49</v>
      </c>
      <c r="B47" s="2">
        <v>1</v>
      </c>
      <c r="C47" s="90" t="s">
        <v>57</v>
      </c>
      <c r="D47" s="10"/>
    </row>
    <row r="48" spans="1:8" ht="25" x14ac:dyDescent="0.25">
      <c r="A48" s="1" t="s">
        <v>55</v>
      </c>
      <c r="B48" s="2">
        <v>1</v>
      </c>
      <c r="C48" s="90" t="s">
        <v>58</v>
      </c>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12</v>
      </c>
      <c r="C56" s="86" t="s">
        <v>28</v>
      </c>
      <c r="D56" s="48"/>
    </row>
    <row r="57" spans="1:4" ht="13" thickBot="1" x14ac:dyDescent="0.3">
      <c r="A57" s="49"/>
      <c r="B57" s="49"/>
      <c r="C57" s="49"/>
      <c r="D57" s="49"/>
    </row>
    <row r="58" spans="1:4" ht="18" thickBot="1" x14ac:dyDescent="0.3">
      <c r="A58" s="42" t="s">
        <v>14</v>
      </c>
      <c r="B58" s="43">
        <v>4</v>
      </c>
      <c r="C58" s="44" t="s">
        <v>23</v>
      </c>
      <c r="D58" s="53">
        <f>$D$39+7</f>
        <v>45985</v>
      </c>
    </row>
    <row r="59" spans="1:4" ht="23.5" thickBot="1" x14ac:dyDescent="0.3">
      <c r="A59" s="45" t="s">
        <v>3</v>
      </c>
      <c r="B59" s="46" t="s">
        <v>15</v>
      </c>
      <c r="C59" s="45" t="s">
        <v>7</v>
      </c>
      <c r="D59" s="45" t="s">
        <v>13</v>
      </c>
    </row>
    <row r="60" spans="1:4" ht="25" x14ac:dyDescent="0.25">
      <c r="A60" s="5" t="s">
        <v>59</v>
      </c>
      <c r="B60" s="4">
        <v>6</v>
      </c>
      <c r="C60" s="88" t="s">
        <v>60</v>
      </c>
      <c r="D60" s="9"/>
    </row>
    <row r="61" spans="1:4" ht="25" x14ac:dyDescent="0.25">
      <c r="A61" s="1" t="s">
        <v>61</v>
      </c>
      <c r="B61" s="2">
        <v>4</v>
      </c>
      <c r="C61" s="90" t="s">
        <v>62</v>
      </c>
      <c r="D61" s="10"/>
    </row>
    <row r="62" spans="1:4" ht="37.5" x14ac:dyDescent="0.25">
      <c r="A62" s="1" t="s">
        <v>55</v>
      </c>
      <c r="B62" s="2">
        <v>2</v>
      </c>
      <c r="C62" s="90" t="s">
        <v>63</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12</v>
      </c>
      <c r="C75" s="86" t="s">
        <v>28</v>
      </c>
      <c r="D75" s="48"/>
    </row>
    <row r="76" spans="1:4" ht="13" thickBot="1" x14ac:dyDescent="0.3">
      <c r="A76" s="49"/>
      <c r="B76" s="49"/>
      <c r="C76" s="49"/>
      <c r="D76" s="49"/>
    </row>
    <row r="77" spans="1:4" ht="18" thickBot="1" x14ac:dyDescent="0.3">
      <c r="A77" s="42" t="s">
        <v>14</v>
      </c>
      <c r="B77" s="43">
        <v>5</v>
      </c>
      <c r="C77" s="44" t="s">
        <v>23</v>
      </c>
      <c r="D77" s="53">
        <f>$D$58+7</f>
        <v>45992</v>
      </c>
    </row>
    <row r="78" spans="1:4" ht="23.5" thickBot="1" x14ac:dyDescent="0.3">
      <c r="A78" s="45" t="s">
        <v>3</v>
      </c>
      <c r="B78" s="46" t="s">
        <v>15</v>
      </c>
      <c r="C78" s="45" t="s">
        <v>7</v>
      </c>
      <c r="D78" s="45" t="s">
        <v>13</v>
      </c>
    </row>
    <row r="79" spans="1:4" ht="25" x14ac:dyDescent="0.25">
      <c r="A79" s="5" t="s">
        <v>64</v>
      </c>
      <c r="B79" s="4">
        <v>4</v>
      </c>
      <c r="C79" s="88" t="s">
        <v>65</v>
      </c>
      <c r="D79" s="9"/>
    </row>
    <row r="80" spans="1:4" ht="25" x14ac:dyDescent="0.25">
      <c r="A80" s="1" t="s">
        <v>55</v>
      </c>
      <c r="B80" s="2">
        <v>2</v>
      </c>
      <c r="C80" s="90" t="s">
        <v>66</v>
      </c>
      <c r="D80" s="10"/>
    </row>
    <row r="81" spans="1:4" ht="25" x14ac:dyDescent="0.25">
      <c r="A81" s="1" t="s">
        <v>55</v>
      </c>
      <c r="B81" s="2">
        <v>4</v>
      </c>
      <c r="C81" s="90" t="s">
        <v>67</v>
      </c>
      <c r="D81" s="10"/>
    </row>
    <row r="82" spans="1:4" x14ac:dyDescent="0.25">
      <c r="A82" s="1" t="s">
        <v>64</v>
      </c>
      <c r="B82" s="2">
        <v>1</v>
      </c>
      <c r="C82" s="90" t="s">
        <v>68</v>
      </c>
      <c r="D82" s="10"/>
    </row>
    <row r="83" spans="1:4" x14ac:dyDescent="0.25">
      <c r="A83" s="89" t="s">
        <v>69</v>
      </c>
      <c r="B83" s="2">
        <v>1</v>
      </c>
      <c r="C83" s="90" t="s">
        <v>71</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12</v>
      </c>
      <c r="C94" s="86" t="s">
        <v>28</v>
      </c>
      <c r="D94" s="48"/>
    </row>
    <row r="95" spans="1:4" ht="13" thickBot="1" x14ac:dyDescent="0.3">
      <c r="A95" s="49"/>
      <c r="B95" s="49"/>
      <c r="C95" s="49"/>
      <c r="D95" s="49"/>
    </row>
    <row r="96" spans="1:4" ht="18" thickBot="1" x14ac:dyDescent="0.3">
      <c r="A96" s="42" t="s">
        <v>14</v>
      </c>
      <c r="B96" s="43">
        <v>6</v>
      </c>
      <c r="C96" s="44" t="s">
        <v>23</v>
      </c>
      <c r="D96" s="53">
        <f>$D$77+7</f>
        <v>45999</v>
      </c>
    </row>
    <row r="97" spans="1:4" ht="23.5" thickBot="1" x14ac:dyDescent="0.3">
      <c r="A97" s="45" t="s">
        <v>3</v>
      </c>
      <c r="B97" s="46" t="s">
        <v>15</v>
      </c>
      <c r="C97" s="45" t="s">
        <v>7</v>
      </c>
      <c r="D97" s="45" t="s">
        <v>13</v>
      </c>
    </row>
    <row r="98" spans="1:4" x14ac:dyDescent="0.25">
      <c r="A98" s="5" t="s">
        <v>21</v>
      </c>
      <c r="B98" s="4">
        <v>12</v>
      </c>
      <c r="C98" s="88" t="s">
        <v>72</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12</v>
      </c>
      <c r="C113" s="86" t="s">
        <v>28</v>
      </c>
      <c r="D113" s="48"/>
    </row>
    <row r="114" spans="1:4" ht="13" thickBot="1" x14ac:dyDescent="0.3">
      <c r="A114" s="49"/>
      <c r="B114" s="49"/>
      <c r="C114" s="49"/>
      <c r="D114" s="49"/>
    </row>
    <row r="115" spans="1:4" ht="18" thickBot="1" x14ac:dyDescent="0.3">
      <c r="A115" s="42" t="s">
        <v>14</v>
      </c>
      <c r="B115" s="43">
        <v>7</v>
      </c>
      <c r="C115" s="44" t="s">
        <v>23</v>
      </c>
      <c r="D115" s="53">
        <f>$D$96+7</f>
        <v>46006</v>
      </c>
    </row>
    <row r="116" spans="1:4" ht="23.5" thickBot="1" x14ac:dyDescent="0.3">
      <c r="A116" s="45" t="s">
        <v>3</v>
      </c>
      <c r="B116" s="46" t="s">
        <v>15</v>
      </c>
      <c r="C116" s="45" t="s">
        <v>7</v>
      </c>
      <c r="D116" s="45" t="s">
        <v>13</v>
      </c>
    </row>
    <row r="117" spans="1:4" ht="37.5" x14ac:dyDescent="0.25">
      <c r="A117" s="87" t="s">
        <v>70</v>
      </c>
      <c r="B117" s="4">
        <v>6</v>
      </c>
      <c r="C117" s="88" t="s">
        <v>73</v>
      </c>
      <c r="D117" s="9"/>
    </row>
    <row r="118" spans="1:4" ht="25" x14ac:dyDescent="0.25">
      <c r="A118" s="1" t="s">
        <v>70</v>
      </c>
      <c r="B118" s="2">
        <v>3</v>
      </c>
      <c r="C118" s="90" t="s">
        <v>74</v>
      </c>
      <c r="D118" s="10"/>
    </row>
    <row r="119" spans="1:4" x14ac:dyDescent="0.25">
      <c r="A119" s="1" t="s">
        <v>70</v>
      </c>
      <c r="B119" s="2">
        <v>3</v>
      </c>
      <c r="C119" s="90" t="s">
        <v>75</v>
      </c>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12</v>
      </c>
      <c r="C132" s="86" t="s">
        <v>28</v>
      </c>
      <c r="D132" s="48"/>
    </row>
    <row r="133" spans="1:4" ht="13" thickBot="1" x14ac:dyDescent="0.3">
      <c r="A133" s="49"/>
      <c r="B133" s="49"/>
      <c r="C133" s="49"/>
      <c r="D133" s="49"/>
    </row>
    <row r="134" spans="1:4" ht="18" thickBot="1" x14ac:dyDescent="0.3">
      <c r="A134" s="42" t="s">
        <v>14</v>
      </c>
      <c r="B134" s="43">
        <v>8</v>
      </c>
      <c r="C134" s="44" t="s">
        <v>23</v>
      </c>
      <c r="D134" s="53">
        <f>$D$115+5</f>
        <v>46011</v>
      </c>
    </row>
    <row r="135" spans="1:4" ht="23.5" thickBot="1" x14ac:dyDescent="0.3">
      <c r="A135" s="45" t="s">
        <v>3</v>
      </c>
      <c r="B135" s="46" t="s">
        <v>15</v>
      </c>
      <c r="C135" s="45" t="s">
        <v>7</v>
      </c>
      <c r="D135" s="45" t="s">
        <v>13</v>
      </c>
    </row>
    <row r="136" spans="1:4" x14ac:dyDescent="0.25">
      <c r="A136" s="87" t="s">
        <v>59</v>
      </c>
      <c r="B136" s="4">
        <v>1</v>
      </c>
      <c r="C136" s="88" t="s">
        <v>76</v>
      </c>
      <c r="D136" s="9"/>
    </row>
    <row r="137" spans="1:4" ht="25" x14ac:dyDescent="0.25">
      <c r="A137" s="1" t="s">
        <v>56</v>
      </c>
      <c r="B137" s="2">
        <v>3</v>
      </c>
      <c r="C137" s="90" t="s">
        <v>77</v>
      </c>
      <c r="D137" s="90" t="s">
        <v>78</v>
      </c>
    </row>
    <row r="138" spans="1:4" x14ac:dyDescent="0.25">
      <c r="A138" s="89" t="s">
        <v>79</v>
      </c>
      <c r="B138" s="2">
        <v>2</v>
      </c>
      <c r="C138" s="90" t="s">
        <v>81</v>
      </c>
      <c r="D138" s="91" t="s">
        <v>80</v>
      </c>
    </row>
    <row r="139" spans="1:4" x14ac:dyDescent="0.25">
      <c r="A139" s="1" t="s">
        <v>79</v>
      </c>
      <c r="B139" s="2">
        <v>1</v>
      </c>
      <c r="C139" s="90" t="s">
        <v>82</v>
      </c>
      <c r="D139" s="10"/>
    </row>
    <row r="140" spans="1:4" ht="25" x14ac:dyDescent="0.25">
      <c r="A140" s="1" t="s">
        <v>59</v>
      </c>
      <c r="B140" s="2">
        <v>1</v>
      </c>
      <c r="C140" s="96" t="s">
        <v>83</v>
      </c>
      <c r="D140" s="10"/>
    </row>
    <row r="141" spans="1:4" x14ac:dyDescent="0.25">
      <c r="A141" s="1" t="s">
        <v>79</v>
      </c>
      <c r="B141" s="2">
        <v>1</v>
      </c>
      <c r="C141" s="96" t="s">
        <v>84</v>
      </c>
      <c r="D141" s="10"/>
    </row>
    <row r="142" spans="1:4" x14ac:dyDescent="0.25">
      <c r="A142" s="1" t="s">
        <v>85</v>
      </c>
      <c r="B142" s="2">
        <v>3</v>
      </c>
      <c r="C142" s="96" t="s">
        <v>86</v>
      </c>
      <c r="D142" s="10"/>
    </row>
    <row r="143" spans="1:4" x14ac:dyDescent="0.25">
      <c r="A143" s="1" t="s">
        <v>85</v>
      </c>
      <c r="B143" s="2">
        <v>2</v>
      </c>
      <c r="C143" s="96" t="s">
        <v>87</v>
      </c>
      <c r="D143" s="10"/>
    </row>
    <row r="144" spans="1:4" x14ac:dyDescent="0.25">
      <c r="A144" s="1" t="s">
        <v>85</v>
      </c>
      <c r="B144" s="2">
        <v>2</v>
      </c>
      <c r="C144" s="96" t="s">
        <v>88</v>
      </c>
      <c r="D144" s="10"/>
    </row>
    <row r="145" spans="1:4" x14ac:dyDescent="0.25">
      <c r="A145" s="2" t="s">
        <v>85</v>
      </c>
      <c r="B145" s="2">
        <v>3</v>
      </c>
      <c r="C145" s="96" t="s">
        <v>89</v>
      </c>
      <c r="D145" s="10"/>
    </row>
    <row r="146" spans="1:4" ht="25" x14ac:dyDescent="0.25">
      <c r="A146" s="2" t="s">
        <v>70</v>
      </c>
      <c r="B146" s="2">
        <v>1</v>
      </c>
      <c r="C146" s="96" t="s">
        <v>92</v>
      </c>
      <c r="D146" s="10"/>
    </row>
    <row r="147" spans="1:4" x14ac:dyDescent="0.25">
      <c r="A147" s="2" t="s">
        <v>85</v>
      </c>
      <c r="B147" s="2">
        <v>1</v>
      </c>
      <c r="C147" s="96" t="s">
        <v>91</v>
      </c>
      <c r="D147" s="10"/>
    </row>
    <row r="148" spans="1:4" x14ac:dyDescent="0.25">
      <c r="A148" s="50" t="s">
        <v>85</v>
      </c>
      <c r="B148" s="50">
        <v>2</v>
      </c>
      <c r="C148" s="97" t="s">
        <v>93</v>
      </c>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23</v>
      </c>
      <c r="C151" s="86" t="s">
        <v>90</v>
      </c>
      <c r="D151" s="48"/>
    </row>
    <row r="152" spans="1:4" ht="13" thickBot="1" x14ac:dyDescent="0.3">
      <c r="A152" s="49"/>
      <c r="B152" s="49"/>
      <c r="C152" s="49"/>
      <c r="D152" s="49"/>
    </row>
    <row r="153" spans="1:4" ht="18" thickBot="1" x14ac:dyDescent="0.3">
      <c r="A153" s="42" t="s">
        <v>14</v>
      </c>
      <c r="B153" s="43">
        <v>8</v>
      </c>
      <c r="C153" s="44" t="s">
        <v>23</v>
      </c>
      <c r="D153" s="53">
        <f>$D$115+21</f>
        <v>46027</v>
      </c>
    </row>
    <row r="154" spans="1:4" ht="23.5" thickBot="1" x14ac:dyDescent="0.3">
      <c r="A154" s="45" t="s">
        <v>3</v>
      </c>
      <c r="B154" s="46" t="s">
        <v>15</v>
      </c>
      <c r="C154" s="45" t="s">
        <v>7</v>
      </c>
      <c r="D154" s="45" t="s">
        <v>13</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0</v>
      </c>
      <c r="C170" s="86" t="s">
        <v>28</v>
      </c>
      <c r="D170" s="48"/>
    </row>
    <row r="171" spans="1:4" x14ac:dyDescent="0.25">
      <c r="A171" s="49"/>
      <c r="B171" s="49"/>
      <c r="C171" s="49"/>
      <c r="D171" s="49"/>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69EE965-E395-4A85-8DAF-137B1B5B079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55:B169 B136:B150" xr:uid="{F3E651C6-0764-478D-AC0C-5284C198881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70 B151" xr:uid="{8EB3FB10-310C-4BBD-ACE6-01793BC799D4}">
      <formula1>0</formula1>
      <formula2>NbPerWeek * NbQuartPer</formula2>
    </dataValidation>
    <dataValidation type="list" allowBlank="1" showInputMessage="1" showErrorMessage="1" sqref="A3:A17 A22:A36 A41:A55 A60:A74 A79:A93 A98:A112 A117:A131 A155:A169 A136:A150" xr:uid="{F7D29EEA-C727-413D-B4D0-A5A6A028AF9F}">
      <formula1>lstTasks</formula1>
    </dataValidation>
  </dataValidations>
  <hyperlinks>
    <hyperlink ref="D138" r:id="rId1" xr:uid="{A7DB73FE-0ABF-45DB-A93F-A5A14FFC1153}"/>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37" r:id="rId5" name="btnImportRealisation">
          <controlPr defaultSize="0" autoLine="0" r:id="rId6">
            <anchor moveWithCells="1">
              <from>
                <xdr:col>4</xdr:col>
                <xdr:colOff>590550</xdr:colOff>
                <xdr:row>0</xdr:row>
                <xdr:rowOff>184150</xdr:rowOff>
              </from>
              <to>
                <xdr:col>7</xdr:col>
                <xdr:colOff>260350</xdr:colOff>
                <xdr:row>2</xdr:row>
                <xdr:rowOff>152400</xdr:rowOff>
              </to>
            </anchor>
          </controlPr>
        </control>
      </mc:Choice>
      <mc:Fallback>
        <control shapeId="39937"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Maël Andrina Naudet</cp:lastModifiedBy>
  <cp:lastPrinted>2013-08-29T11:33:15Z</cp:lastPrinted>
  <dcterms:created xsi:type="dcterms:W3CDTF">1996-10-21T11:03:58Z</dcterms:created>
  <dcterms:modified xsi:type="dcterms:W3CDTF">2025-12-20T15:48:52Z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