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426" codeName="{DD97A8EA-9A9A-E61F-A557-7D5A7D7259CE}"/>
  <workbookPr updateLinks="never" codeName="ThisWorkbook"/>
  <mc:AlternateContent xmlns:mc="http://schemas.openxmlformats.org/markup-compatibility/2006">
    <mc:Choice Requires="x15">
      <x15ac:absPath xmlns:x15ac="http://schemas.microsoft.com/office/spreadsheetml/2010/11/ac" url="C:\Users\m01\Documents\github\Flashcards-P_Bulle\doc\"/>
    </mc:Choice>
  </mc:AlternateContent>
  <xr:revisionPtr revIDLastSave="0" documentId="13_ncr:1_{1F48F77E-7C80-434D-A84D-C9D08DB3F807}" xr6:coauthVersionLast="47" xr6:coauthVersionMax="47" xr10:uidLastSave="{00000000-0000-0000-0000-000000000000}"/>
  <bookViews>
    <workbookView xWindow="-110" yWindow="-110" windowWidth="25820" windowHeight="15500" activeTab="5" xr2:uid="{00000000-000D-0000-FFFF-FFFF00000000}"/>
  </bookViews>
  <sheets>
    <sheet name="Donnees" sheetId="7" r:id="rId1"/>
    <sheet name="DiagramHeader" sheetId="10" state="hidden" r:id="rId2"/>
    <sheet name="DiagramFooter" sheetId="130" state="hidden" r:id="rId3"/>
    <sheet name="PlanificationWeek" sheetId="11" state="hidden" r:id="rId4"/>
    <sheet name="achievementWeek" sheetId="154" state="hidden" r:id="rId5"/>
    <sheet name="JNLTRAV" sheetId="155" r:id="rId6"/>
  </sheets>
  <definedNames>
    <definedName name="datDateBegin">Donnees!$C$9</definedName>
    <definedName name="lstTasks">Donnees!$C$20:$C$45</definedName>
    <definedName name="NbPerWeek">Donnees!$C$12</definedName>
    <definedName name="NbQuartPer">Donnees!$C$13</definedName>
    <definedName name="NbWeeks">Donnees!$C$11</definedName>
    <definedName name="objFooterDiagram">DiagramFooter!$B$3:$C$4</definedName>
    <definedName name="objPlanifWeek">PlanificationWeek!$A$1:$D$14</definedName>
    <definedName name="objRealizedWeek" localSheetId="4">achievementWeek!$A$1:$D$19</definedName>
    <definedName name="objRealizedWeek" localSheetId="5">JNLTRAV!$A$1:$D$19</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34" i="155" l="1"/>
  <c r="B151" i="155"/>
  <c r="D153" i="155"/>
  <c r="D115" i="155"/>
  <c r="D96" i="155"/>
  <c r="D77" i="155"/>
  <c r="D58" i="155"/>
  <c r="D39" i="155"/>
  <c r="D20" i="155"/>
  <c r="D1" i="155"/>
  <c r="B170" i="155"/>
  <c r="B132" i="155"/>
  <c r="B113" i="155"/>
  <c r="B94" i="155"/>
  <c r="B75" i="155"/>
  <c r="B56" i="155"/>
  <c r="B37" i="155"/>
  <c r="B18" i="155"/>
  <c r="B18" i="154"/>
  <c r="B13" i="11" l="1"/>
</calcChain>
</file>

<file path=xl/sharedStrings.xml><?xml version="1.0" encoding="utf-8"?>
<sst xmlns="http://schemas.openxmlformats.org/spreadsheetml/2006/main" count="191" uniqueCount="84">
  <si>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</si>
  <si>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</si>
  <si>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</si>
  <si>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</si>
  <si>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</si>
  <si>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</si>
  <si>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</si>
  <si>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</si>
  <si>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</si>
  <si>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</si>
  <si>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</si>
  <si>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</si>
  <si>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</si>
  <si>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</si>
  <si>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</si>
  <si>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</si>
  <si>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</si>
  <si>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</si>
  <si>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</si>
  <si>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</si>
  <si>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</si>
  <si>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</si>
  <si>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</si>
  <si>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</si>
  <si>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Maël Naudet</t>
  </si>
  <si>
    <t>Avenue de Valmont 28b, Lausanne</t>
  </si>
  <si>
    <t>FID2</t>
  </si>
  <si>
    <t>P_Bulle - Flashcards</t>
  </si>
  <si>
    <t>Max. 12</t>
  </si>
  <si>
    <t>Initialisation</t>
  </si>
  <si>
    <t>Initialisation du projet</t>
  </si>
  <si>
    <t>Modèle</t>
  </si>
  <si>
    <t>Modèle de données</t>
  </si>
  <si>
    <t>Création et validation du modèle de données utilisé</t>
  </si>
  <si>
    <t>Créations des modèles et des migrations du backend</t>
  </si>
  <si>
    <t>Routes</t>
  </si>
  <si>
    <t>Réflexion sur les routes à implémenter</t>
  </si>
  <si>
    <t>Création des routes et début des controllers</t>
  </si>
  <si>
    <t>Page d'accueil</t>
  </si>
  <si>
    <t>Lecture des steps donnés par l'enseignant + adaptation au projet actuel</t>
  </si>
  <si>
    <t>Style du header + du footer</t>
  </si>
  <si>
    <t>Seeders</t>
  </si>
  <si>
    <t>Ajout de seeders pour les users et les decks</t>
  </si>
  <si>
    <t>Création du body de la page d'accueil</t>
  </si>
  <si>
    <t>Début de la page de deck (connexion faite, plus qu'à implémenter le système de cartes)</t>
  </si>
  <si>
    <t>Autre</t>
  </si>
  <si>
    <t>Informations decks</t>
  </si>
  <si>
    <t>Création d'un nouveau projet adonis afin d'avoir la bonne authentification en mode cookie et pas en mode token. Transfert de tout ce qui a été fait du mauvais projet au bon</t>
  </si>
  <si>
    <t>Ajout d'un bouton de delete pour chaque deck qui permet d'effacer le deck dans la page d'accueil</t>
  </si>
  <si>
    <t>Création de decks</t>
  </si>
  <si>
    <t>Création d'une page d'ajout de deck. Il est maintenant possible de créer un deck en indiquant un titre et s'il est public ou non. L'utilisateur par défaut est le 1 cela sera implémenté plus tard. Le style n'a pas du tout été fait.</t>
  </si>
  <si>
    <t>Modification de decks</t>
  </si>
  <si>
    <t>Création d'une page de modification de deck. Et factorisation des formulaires de création et de modification qui était très similaire</t>
  </si>
  <si>
    <t>Création du login directement dans le header pour suivre plus facilement le cours cela va être arrangé plus tard</t>
  </si>
  <si>
    <t>Création du logout également directement dans le header</t>
  </si>
  <si>
    <t>Droits utilisateurs</t>
  </si>
  <si>
    <t>Authentification</t>
  </si>
  <si>
    <t>Modification de la page pour que ça prenne automatiquement l'utilisateur authentifié</t>
  </si>
  <si>
    <t>Création de droits utilisateurs un peu sur toute la page, fin des étapes de l'application exemple.</t>
  </si>
  <si>
    <t>CRUD cards</t>
  </si>
  <si>
    <t xml:space="preserve">Le crud des cards en elle-même a été fait. Il est donc possible de créer des cartes directement rattachées à un deck, de modifier ces cartes et les supprimer. </t>
  </si>
  <si>
    <t>Decks par utilisateur</t>
  </si>
  <si>
    <t>Ajout d'une page qui montre tous les decks de l'utilisateur connecté. Il est possible de faire plusieurs actions dans cete page directement liées aux decks</t>
  </si>
  <si>
    <t>Fixe un bug qui empêchait les utilisateurs non authentifié de pouvoir voir en détail les decks et il est maintenant impossible de modifier, supprimer le deck de quelqu'un d'autre que l'utilisateur authentifié, hormis s'il est administrateur.</t>
  </si>
  <si>
    <t>Publication</t>
  </si>
  <si>
    <t>Ajout de la fonctionnalité de publication et dépublication dans la liste des decks. Aucune confirmation pour l'instant, cela sera ajouté plus tard.</t>
  </si>
  <si>
    <t>Fixe d'un bug qui ne permettait pas aux administrateurs de faire ce qu'il veut sur les decks d'un autre utilisateur</t>
  </si>
  <si>
    <t>Fixe d'un accès aux decks non publiés d'un autre utilisateur que celui non connecté. Fixe également des bons middlewares à utiliser dans toutes les routes</t>
  </si>
  <si>
    <t>Il est maintenant possible de publier un deck dans la page de détails du deck</t>
  </si>
  <si>
    <t>Jouer</t>
  </si>
  <si>
    <t>Jouer un deck</t>
  </si>
  <si>
    <t>Début pour jouer au jeu</t>
  </si>
  <si>
    <t>Maladie</t>
  </si>
  <si>
    <t>Essais infructueux sur la création de variables en sessions afin de gérer le jeu. Lecture de la documentation AdonisJS, recherche sur stackoverflow, demande à ChatGPT d'instruire sur le système de session sans succès.</t>
  </si>
  <si>
    <t>Reprise à zéro de cette partie de l'application et demande à l'IA de l'aide sur ce qui a déjà été fait, surtout de la correction.</t>
  </si>
  <si>
    <t>Il est maintenant possible de voir une carte la retourner et indiquer si c'est correct ou non.</t>
  </si>
  <si>
    <t>Ajout de vraies cartes dans le seeder afin d'avoir des vrais decks</t>
  </si>
  <si>
    <t>Ajout de la fonctionnalité de pouvoir créer un compte et ajout d'une confirmation de mot de passe</t>
  </si>
  <si>
    <t>confirmation : https://vinejs.dev/docs/types/string#confirmed</t>
  </si>
  <si>
    <t>Langue</t>
  </si>
  <si>
    <t>https://docs.adonisjs.com/guides/digging-deeper/i18n</t>
  </si>
  <si>
    <t>Changement de la langue des messages d'erreurs dans les forms d'authentification</t>
  </si>
  <si>
    <t>Changement de la langue des messages d'erreurs dans les forms des decks et des cartes</t>
  </si>
  <si>
    <t>Fixe un bug qui faisait planter le serveur quand on ajoutait une carte avec les mauvaises validations (ex : question à 1 caractère)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</si>
</sst>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16"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s>
  <fills count="14">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s>
  <borders count="3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97">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Border="1" applyAlignment="1" applyProtection="1">
      <alignment horizontal="center" vertical="center" wrapText="1"/>
      <protection locked="0"/>
    </xf>
    <xf numFmtId="0" fontId="8" fillId="0" borderId="3" xfId="0" applyFont="1" applyBorder="1" applyAlignment="1" applyProtection="1">
      <alignment horizontal="center" vertical="center" wrapText="1"/>
      <protection locked="0"/>
    </xf>
    <xf numFmtId="0" fontId="8" fillId="0" borderId="1" xfId="0" applyFont="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lignment horizontal="center" vertical="center"/>
    </xf>
    <xf numFmtId="0" fontId="7" fillId="2" borderId="12" xfId="0" quotePrefix="1" applyFont="1" applyFill="1" applyBorder="1" applyAlignment="1">
      <alignment horizontal="centerContinuous" vertical="center"/>
    </xf>
    <xf numFmtId="0" fontId="6" fillId="3" borderId="15" xfId="0" applyFont="1" applyFill="1" applyBorder="1" applyAlignment="1">
      <alignment horizontal="center" vertical="center"/>
    </xf>
    <xf numFmtId="0" fontId="8" fillId="0" borderId="1" xfId="0" applyFont="1"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8" fillId="0" borderId="3" xfId="0" applyFont="1" applyBorder="1" applyAlignment="1" applyProtection="1">
      <alignment horizontal="left" vertical="top" wrapText="1"/>
      <protection locked="0"/>
    </xf>
    <xf numFmtId="0" fontId="8" fillId="4" borderId="15" xfId="0" applyFont="1" applyFill="1" applyBorder="1" applyAlignment="1">
      <alignment horizontal="center" vertical="center" wrapText="1"/>
    </xf>
    <xf numFmtId="0" fontId="8" fillId="4" borderId="13" xfId="0" applyFont="1" applyFill="1" applyBorder="1" applyAlignment="1">
      <alignment horizontal="left" vertical="top" wrapText="1"/>
    </xf>
    <xf numFmtId="0" fontId="10" fillId="5" borderId="0" xfId="0" applyFont="1" applyFill="1" applyAlignment="1">
      <alignment horizontal="center"/>
    </xf>
    <xf numFmtId="0" fontId="3" fillId="6" borderId="15" xfId="0" applyFont="1" applyFill="1" applyBorder="1" applyAlignment="1">
      <alignment horizontal="center" vertical="center" wrapText="1"/>
    </xf>
    <xf numFmtId="1" fontId="2" fillId="7" borderId="27" xfId="0" applyNumberFormat="1" applyFont="1" applyFill="1" applyBorder="1" applyAlignment="1">
      <alignment horizontal="center" vertical="center"/>
    </xf>
    <xf numFmtId="0" fontId="6" fillId="2" borderId="14" xfId="0" applyFont="1" applyFill="1" applyBorder="1" applyAlignment="1">
      <alignment horizontal="right" vertical="center"/>
    </xf>
    <xf numFmtId="0" fontId="11" fillId="3" borderId="15" xfId="0" applyFont="1" applyFill="1" applyBorder="1" applyAlignment="1">
      <alignment horizontal="center" vertical="center" wrapText="1"/>
    </xf>
    <xf numFmtId="0" fontId="0" fillId="9" borderId="9" xfId="0" applyFill="1" applyBorder="1"/>
    <xf numFmtId="0" fontId="0" fillId="9" borderId="0" xfId="0" applyFill="1"/>
    <xf numFmtId="0" fontId="0" fillId="9" borderId="5" xfId="0" applyFill="1" applyBorder="1"/>
    <xf numFmtId="1" fontId="2" fillId="7" borderId="28" xfId="0" applyNumberFormat="1" applyFont="1" applyFill="1" applyBorder="1" applyAlignment="1">
      <alignment horizontal="center" vertical="center"/>
    </xf>
    <xf numFmtId="0" fontId="3" fillId="6" borderId="15" xfId="0" applyFont="1" applyFill="1" applyBorder="1" applyAlignment="1">
      <alignment horizontal="center" vertical="center"/>
    </xf>
    <xf numFmtId="0" fontId="12" fillId="0" borderId="0" xfId="0" applyFont="1"/>
    <xf numFmtId="0" fontId="3" fillId="10" borderId="30" xfId="0" applyFont="1" applyFill="1" applyBorder="1" applyAlignment="1">
      <alignment horizontal="right" vertical="center" wrapText="1" indent="1"/>
    </xf>
    <xf numFmtId="0" fontId="3" fillId="10" borderId="31" xfId="0" applyFont="1" applyFill="1" applyBorder="1" applyAlignment="1">
      <alignment horizontal="right" vertical="center" indent="1"/>
    </xf>
    <xf numFmtId="1" fontId="3" fillId="10" borderId="29" xfId="0" applyNumberFormat="1" applyFont="1" applyFill="1" applyBorder="1" applyAlignment="1">
      <alignment horizontal="center" vertical="center"/>
    </xf>
    <xf numFmtId="1" fontId="3" fillId="10" borderId="32" xfId="0" applyNumberFormat="1" applyFont="1" applyFill="1" applyBorder="1" applyAlignment="1">
      <alignment horizontal="center" vertical="center"/>
    </xf>
    <xf numFmtId="0" fontId="0" fillId="9" borderId="8" xfId="0" applyFill="1" applyBorder="1"/>
    <xf numFmtId="0" fontId="6" fillId="9" borderId="0" xfId="0" applyFont="1" applyFill="1" applyAlignment="1">
      <alignment horizontal="center" vertical="center"/>
    </xf>
    <xf numFmtId="0" fontId="7" fillId="9" borderId="0" xfId="0" quotePrefix="1" applyFont="1" applyFill="1" applyAlignment="1">
      <alignment horizontal="centerContinuous" vertical="center"/>
    </xf>
    <xf numFmtId="0" fontId="6" fillId="9" borderId="0" xfId="0" applyFont="1" applyFill="1" applyAlignment="1">
      <alignment horizontal="right" vertical="center"/>
    </xf>
    <xf numFmtId="0" fontId="7" fillId="9" borderId="0" xfId="0" applyFont="1" applyFill="1" applyAlignment="1">
      <alignment horizontal="left" vertical="center"/>
    </xf>
    <xf numFmtId="0" fontId="11" fillId="9" borderId="0" xfId="0" applyFont="1" applyFill="1" applyAlignment="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Alignment="1" applyProtection="1">
      <alignment horizontal="center" vertical="center" wrapText="1"/>
      <protection locked="0"/>
    </xf>
    <xf numFmtId="0" fontId="8" fillId="9" borderId="0" xfId="0" applyFont="1" applyFill="1" applyAlignment="1" applyProtection="1">
      <alignment horizontal="left" vertical="top" wrapText="1"/>
      <protection locked="0"/>
    </xf>
    <xf numFmtId="0" fontId="8" fillId="9" borderId="0" xfId="0" applyFont="1" applyFill="1" applyAlignment="1">
      <alignment horizontal="center" vertical="center" wrapText="1"/>
    </xf>
    <xf numFmtId="0" fontId="8" fillId="9" borderId="0" xfId="0" applyFont="1" applyFill="1" applyAlignment="1">
      <alignment horizontal="left" vertical="top" wrapText="1"/>
    </xf>
    <xf numFmtId="0" fontId="10" fillId="9" borderId="0" xfId="0" applyFont="1" applyFill="1" applyAlignment="1">
      <alignment horizontal="center"/>
    </xf>
    <xf numFmtId="0" fontId="4" fillId="9" borderId="0" xfId="0" applyFont="1" applyFill="1"/>
    <xf numFmtId="0" fontId="6" fillId="13" borderId="14" xfId="0" applyFont="1" applyFill="1" applyBorder="1" applyAlignment="1">
      <alignment horizontal="center" vertical="center"/>
    </xf>
    <xf numFmtId="0" fontId="7" fillId="13" borderId="12" xfId="0" quotePrefix="1" applyFont="1" applyFill="1" applyBorder="1" applyAlignment="1">
      <alignment horizontal="centerContinuous" vertical="center"/>
    </xf>
    <xf numFmtId="0" fontId="6" fillId="13" borderId="14" xfId="0" applyFont="1" applyFill="1" applyBorder="1" applyAlignment="1">
      <alignment horizontal="right" vertical="center"/>
    </xf>
    <xf numFmtId="0" fontId="6" fillId="12" borderId="15" xfId="0" applyFont="1" applyFill="1" applyBorder="1" applyAlignment="1">
      <alignment horizontal="center" vertical="center"/>
    </xf>
    <xf numFmtId="0" fontId="11" fillId="12" borderId="15" xfId="0" applyFont="1" applyFill="1" applyBorder="1" applyAlignment="1">
      <alignment horizontal="center" vertical="center" wrapText="1"/>
    </xf>
    <xf numFmtId="0" fontId="8" fillId="12" borderId="15" xfId="0" applyFont="1" applyFill="1" applyBorder="1" applyAlignment="1">
      <alignment horizontal="center" vertical="center" wrapText="1"/>
    </xf>
    <xf numFmtId="0" fontId="8" fillId="12" borderId="13" xfId="0" applyFont="1" applyFill="1" applyBorder="1" applyAlignment="1">
      <alignment horizontal="left" vertical="top" wrapText="1"/>
    </xf>
    <xf numFmtId="0" fontId="10" fillId="11" borderId="0" xfId="0" applyFont="1" applyFill="1" applyAlignment="1">
      <alignment horizontal="center"/>
    </xf>
    <xf numFmtId="0" fontId="8" fillId="0" borderId="33" xfId="0" applyFont="1" applyBorder="1" applyAlignment="1" applyProtection="1">
      <alignment horizontal="center" vertical="center" wrapText="1"/>
      <protection locked="0"/>
    </xf>
    <xf numFmtId="0" fontId="8" fillId="0" borderId="33" xfId="0" applyFont="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xf numFmtId="0" fontId="8" fillId="9" borderId="9" xfId="0" applyFont="1" applyFill="1" applyBorder="1"/>
    <xf numFmtId="0" fontId="14" fillId="6" borderId="16" xfId="0" applyFont="1" applyFill="1" applyBorder="1" applyAlignment="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lignment vertical="center"/>
    </xf>
    <xf numFmtId="0" fontId="15" fillId="8" borderId="26" xfId="0" applyFont="1" applyFill="1" applyBorder="1" applyAlignment="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lignment horizontal="right" vertical="center"/>
    </xf>
    <xf numFmtId="164" fontId="15" fillId="6" borderId="25" xfId="0" applyNumberFormat="1" applyFont="1" applyFill="1" applyBorder="1" applyAlignment="1">
      <alignment horizontal="left" vertical="center" indent="2"/>
    </xf>
    <xf numFmtId="0" fontId="14" fillId="6" borderId="17" xfId="0" applyFont="1" applyFill="1" applyBorder="1" applyAlignment="1">
      <alignment horizontal="right" vertical="center"/>
    </xf>
    <xf numFmtId="0" fontId="14" fillId="6" borderId="8" xfId="0" applyFont="1" applyFill="1" applyBorder="1" applyAlignment="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Font="1" applyFill="1" applyBorder="1" applyAlignment="1" applyProtection="1">
      <alignment horizontal="left" vertical="center"/>
      <protection locked="0"/>
    </xf>
    <xf numFmtId="0" fontId="9" fillId="12" borderId="13" xfId="0" applyFont="1" applyFill="1" applyBorder="1" applyAlignment="1">
      <alignment horizontal="left" vertical="top" wrapText="1"/>
    </xf>
    <xf numFmtId="0" fontId="0" fillId="0" borderId="1" xfId="1" applyFont="1" applyFill="1" applyBorder="1" applyAlignment="1" applyProtection="1">
      <alignment horizontal="center" vertical="center" wrapText="1"/>
      <protection locked="0"/>
    </xf>
    <xf numFmtId="0" fontId="0" fillId="0" borderId="1" xfId="0" applyBorder="1" applyAlignment="1" applyProtection="1">
      <alignment horizontal="left" vertical="top" wrapText="1"/>
      <protection locked="0"/>
    </xf>
    <xf numFmtId="0" fontId="0" fillId="0" borderId="2" xfId="1" applyFont="1" applyFill="1" applyBorder="1" applyAlignment="1" applyProtection="1">
      <alignment horizontal="center" vertical="center" wrapText="1"/>
      <protection locked="0"/>
    </xf>
    <xf numFmtId="0" fontId="0" fillId="0" borderId="2" xfId="0" applyBorder="1" applyAlignment="1" applyProtection="1">
      <alignment horizontal="left" vertical="top" wrapText="1"/>
      <protection locked="0"/>
    </xf>
    <xf numFmtId="0" fontId="1" fillId="0" borderId="2" xfId="1" applyBorder="1" applyAlignment="1" applyProtection="1">
      <alignment horizontal="left" vertical="top" wrapText="1"/>
      <protection locked="0"/>
    </xf>
    <xf numFmtId="0" fontId="14" fillId="6" borderId="14" xfId="0" applyFont="1" applyFill="1" applyBorder="1" applyAlignment="1">
      <alignment horizontal="center" vertical="center"/>
    </xf>
    <xf numFmtId="0" fontId="14" fillId="6" borderId="13" xfId="0" applyFont="1" applyFill="1" applyBorder="1" applyAlignment="1">
      <alignment horizontal="center" vertical="center"/>
    </xf>
    <xf numFmtId="0" fontId="2" fillId="7" borderId="20" xfId="0" applyFont="1" applyFill="1" applyBorder="1" applyAlignment="1">
      <alignment horizontal="left" vertical="center" indent="1"/>
    </xf>
    <xf numFmtId="0" fontId="0" fillId="7" borderId="19" xfId="0" applyFill="1" applyBorder="1"/>
    <xf numFmtId="0" fontId="0" fillId="0" borderId="2" xfId="0" applyFont="1" applyBorder="1" applyAlignment="1" applyProtection="1">
      <alignment horizontal="left" vertical="top" wrapText="1"/>
      <protection locked="0"/>
    </xf>
  </cellXfs>
  <cellStyles count="4">
    <cellStyle name="Hyperlink"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12700</xdr:colOff>
          <xdr:row>1</xdr:row>
          <xdr:rowOff>165100</xdr:rowOff>
        </xdr:from>
        <xdr:to>
          <xdr:col>6</xdr:col>
          <xdr:colOff>76200</xdr:colOff>
          <xdr:row>3</xdr:row>
          <xdr:rowOff>203200</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12700</xdr:colOff>
          <xdr:row>5</xdr:row>
          <xdr:rowOff>12700</xdr:rowOff>
        </xdr:from>
        <xdr:to>
          <xdr:col>6</xdr:col>
          <xdr:colOff>95250</xdr:colOff>
          <xdr:row>7</xdr:row>
          <xdr:rowOff>50800</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12700</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184150</xdr:rowOff>
        </xdr:from>
        <xdr:to>
          <xdr:col>7</xdr:col>
          <xdr:colOff>260350</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184150</xdr:rowOff>
        </xdr:from>
        <xdr:to>
          <xdr:col>7</xdr:col>
          <xdr:colOff>260350</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4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184150</xdr:rowOff>
        </xdr:from>
        <xdr:to>
          <xdr:col>7</xdr:col>
          <xdr:colOff>260350</xdr:colOff>
          <xdr:row>2</xdr:row>
          <xdr:rowOff>152400</xdr:rowOff>
        </xdr:to>
        <xdr:sp macro="" textlink="">
          <xdr:nvSpPr>
            <xdr:cNvPr id="39937" name="btnImportRealisation" hidden="1">
              <a:extLst>
                <a:ext uri="{63B3BB69-23CF-44E3-9099-C40C66FF867C}">
                  <a14:compatExt spid="_x0000_s39937"/>
                </a:ext>
                <a:ext uri="{FF2B5EF4-FFF2-40B4-BE49-F238E27FC236}">
                  <a16:creationId xmlns:a16="http://schemas.microsoft.com/office/drawing/2014/main" id="{00000000-0008-0000-0500-000001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https://docs.adonisjs.com/guides/digging-deeper/i18n" TargetMode="External"/><Relationship Id="rId6" Type="http://schemas.openxmlformats.org/officeDocument/2006/relationships/image" Target="../media/image7.emf"/><Relationship Id="rId5" Type="http://schemas.openxmlformats.org/officeDocument/2006/relationships/control" Target="../activeX/activeX6.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G54"/>
  <sheetViews>
    <sheetView view="pageBreakPreview" topLeftCell="A9" zoomScaleNormal="100" zoomScaleSheetLayoutView="100" workbookViewId="0">
      <selection activeCell="C33" sqref="C33"/>
    </sheetView>
  </sheetViews>
  <sheetFormatPr defaultColWidth="11.54296875" defaultRowHeight="12.5" x14ac:dyDescent="0.25"/>
  <cols>
    <col min="1" max="1" width="16.54296875" style="57" customWidth="1"/>
    <col min="2" max="2" width="55.1796875" style="57" customWidth="1"/>
    <col min="3" max="3" width="88.54296875" style="57" customWidth="1"/>
    <col min="4" max="4" width="3.453125" style="57" customWidth="1"/>
    <col min="5" max="6" width="11.54296875" style="57"/>
    <col min="7" max="7" width="3.26953125" style="57" customWidth="1"/>
    <col min="8" max="16384" width="11.54296875" style="57"/>
  </cols>
  <sheetData>
    <row r="1" spans="1:7" x14ac:dyDescent="0.25">
      <c r="A1" s="54"/>
      <c r="B1" s="55"/>
      <c r="C1" s="55"/>
      <c r="D1" s="55"/>
      <c r="E1" s="55"/>
      <c r="F1" s="55"/>
      <c r="G1" s="56"/>
    </row>
    <row r="2" spans="1:7" ht="13" thickBot="1" x14ac:dyDescent="0.3">
      <c r="A2" s="58"/>
      <c r="B2" s="59"/>
      <c r="C2" s="59"/>
      <c r="D2" s="59"/>
      <c r="E2" s="59"/>
      <c r="F2" s="59"/>
      <c r="G2" s="60"/>
    </row>
    <row r="3" spans="1:7" ht="20.5" x14ac:dyDescent="0.25">
      <c r="A3" s="58"/>
      <c r="B3" s="61" t="s">
        <v>0</v>
      </c>
      <c r="C3" s="62" t="s">
        <v>27</v>
      </c>
      <c r="D3" s="59"/>
      <c r="E3" s="59"/>
      <c r="F3" s="59"/>
      <c r="G3" s="60"/>
    </row>
    <row r="4" spans="1:7" ht="20.5" x14ac:dyDescent="0.25">
      <c r="A4" s="58"/>
      <c r="B4" s="63" t="s">
        <v>4</v>
      </c>
      <c r="C4" s="64" t="s">
        <v>24</v>
      </c>
      <c r="D4" s="59"/>
      <c r="E4" s="59"/>
      <c r="F4" s="59"/>
      <c r="G4" s="60"/>
    </row>
    <row r="5" spans="1:7" ht="20.5" x14ac:dyDescent="0.25">
      <c r="A5" s="58"/>
      <c r="B5" s="63" t="s">
        <v>1</v>
      </c>
      <c r="C5" s="64" t="s">
        <v>26</v>
      </c>
      <c r="D5" s="59"/>
      <c r="E5" s="59"/>
      <c r="F5" s="59"/>
      <c r="G5" s="60"/>
    </row>
    <row r="6" spans="1:7" ht="21" thickBot="1" x14ac:dyDescent="0.3">
      <c r="A6" s="58"/>
      <c r="B6" s="65" t="s">
        <v>2</v>
      </c>
      <c r="C6" s="66" t="s">
        <v>25</v>
      </c>
      <c r="D6" s="59"/>
      <c r="E6" s="59"/>
      <c r="F6" s="59"/>
      <c r="G6" s="60"/>
    </row>
    <row r="7" spans="1:7" x14ac:dyDescent="0.25">
      <c r="A7" s="58"/>
      <c r="B7" s="59"/>
      <c r="C7" s="59"/>
      <c r="D7" s="59"/>
      <c r="E7" s="59"/>
      <c r="F7" s="59"/>
      <c r="G7" s="60"/>
    </row>
    <row r="8" spans="1:7" ht="13" thickBot="1" x14ac:dyDescent="0.3">
      <c r="A8" s="58"/>
      <c r="B8" s="59"/>
      <c r="C8" s="59"/>
      <c r="D8" s="59"/>
      <c r="E8" s="59"/>
      <c r="F8" s="59"/>
      <c r="G8" s="60"/>
    </row>
    <row r="9" spans="1:7" ht="20.5" x14ac:dyDescent="0.25">
      <c r="A9" s="58"/>
      <c r="B9" s="61" t="s">
        <v>9</v>
      </c>
      <c r="C9" s="67">
        <v>45964</v>
      </c>
      <c r="D9" s="59"/>
      <c r="E9" s="59"/>
      <c r="F9" s="59"/>
      <c r="G9" s="60"/>
    </row>
    <row r="10" spans="1:7" ht="20.5" x14ac:dyDescent="0.25">
      <c r="A10" s="58"/>
      <c r="B10" s="68" t="s">
        <v>8</v>
      </c>
      <c r="C10" s="69">
        <v>46027</v>
      </c>
      <c r="D10" s="59"/>
      <c r="E10" s="59"/>
      <c r="F10" s="59"/>
      <c r="G10" s="60"/>
    </row>
    <row r="11" spans="1:7" ht="20.5" x14ac:dyDescent="0.25">
      <c r="A11" s="58"/>
      <c r="B11" s="68" t="s">
        <v>10</v>
      </c>
      <c r="C11" s="70">
        <v>8</v>
      </c>
      <c r="D11" s="59"/>
      <c r="E11" s="59"/>
      <c r="F11" s="59"/>
      <c r="G11" s="60"/>
    </row>
    <row r="12" spans="1:7" ht="20.5" x14ac:dyDescent="0.25">
      <c r="A12" s="58"/>
      <c r="B12" s="63" t="s">
        <v>11</v>
      </c>
      <c r="C12" s="71">
        <v>4</v>
      </c>
      <c r="D12" s="59"/>
      <c r="E12" s="59"/>
      <c r="F12" s="59"/>
      <c r="G12" s="60"/>
    </row>
    <row r="13" spans="1:7" ht="20.5" x14ac:dyDescent="0.25">
      <c r="A13" s="58"/>
      <c r="B13" s="63" t="s">
        <v>12</v>
      </c>
      <c r="C13" s="71">
        <v>3</v>
      </c>
      <c r="D13" s="59"/>
      <c r="E13" s="59"/>
      <c r="F13" s="59"/>
      <c r="G13" s="60"/>
    </row>
    <row r="14" spans="1:7" ht="21" thickBot="1" x14ac:dyDescent="0.3">
      <c r="A14" s="58"/>
      <c r="B14" s="72"/>
      <c r="C14" s="73" t="s">
        <v>6</v>
      </c>
      <c r="D14" s="59"/>
      <c r="E14" s="59"/>
      <c r="F14" s="59"/>
      <c r="G14" s="60"/>
    </row>
    <row r="15" spans="1:7" x14ac:dyDescent="0.25">
      <c r="A15" s="58"/>
      <c r="B15" s="59"/>
      <c r="C15" s="59"/>
      <c r="D15" s="59"/>
      <c r="E15" s="59"/>
      <c r="F15" s="59"/>
      <c r="G15" s="60"/>
    </row>
    <row r="16" spans="1:7" ht="13" thickBot="1" x14ac:dyDescent="0.3">
      <c r="A16" s="74"/>
      <c r="B16" s="75"/>
      <c r="C16" s="75"/>
      <c r="D16" s="75"/>
      <c r="E16" s="75"/>
      <c r="F16" s="75"/>
      <c r="G16" s="76"/>
    </row>
    <row r="17" spans="1:7" x14ac:dyDescent="0.25">
      <c r="A17" s="77"/>
      <c r="B17" s="55"/>
      <c r="C17" s="55"/>
      <c r="D17" s="55"/>
      <c r="E17" s="55"/>
      <c r="F17" s="55"/>
      <c r="G17" s="56"/>
    </row>
    <row r="18" spans="1:7" ht="13" thickBot="1" x14ac:dyDescent="0.3">
      <c r="A18" s="78"/>
      <c r="B18" s="59"/>
      <c r="C18" s="59"/>
      <c r="D18" s="59"/>
      <c r="E18" s="59"/>
      <c r="F18" s="59"/>
      <c r="G18" s="60"/>
    </row>
    <row r="19" spans="1:7" ht="20" thickBot="1" x14ac:dyDescent="0.3">
      <c r="A19" s="78"/>
      <c r="B19" s="92" t="s">
        <v>19</v>
      </c>
      <c r="C19" s="93"/>
      <c r="D19" s="59"/>
      <c r="E19" s="59"/>
      <c r="F19" s="59"/>
      <c r="G19" s="60"/>
    </row>
    <row r="20" spans="1:7" ht="20.5" x14ac:dyDescent="0.25">
      <c r="A20" s="78"/>
      <c r="B20" s="79" t="s">
        <v>20</v>
      </c>
      <c r="C20" s="80" t="s">
        <v>21</v>
      </c>
      <c r="D20" s="59"/>
      <c r="E20" s="59"/>
      <c r="F20" s="59"/>
      <c r="G20" s="60"/>
    </row>
    <row r="21" spans="1:7" ht="20.5" x14ac:dyDescent="0.25">
      <c r="A21" s="78"/>
      <c r="B21" s="79">
        <v>1</v>
      </c>
      <c r="C21" s="69" t="s">
        <v>45</v>
      </c>
      <c r="D21" s="59"/>
      <c r="E21" s="59"/>
      <c r="F21" s="59"/>
      <c r="G21" s="60"/>
    </row>
    <row r="22" spans="1:7" ht="20.5" x14ac:dyDescent="0.25">
      <c r="A22" s="78"/>
      <c r="B22" s="79">
        <v>2</v>
      </c>
      <c r="C22" s="70" t="s">
        <v>38</v>
      </c>
      <c r="D22" s="59"/>
      <c r="E22" s="59"/>
      <c r="F22" s="59"/>
      <c r="G22" s="60"/>
    </row>
    <row r="23" spans="1:7" ht="20.5" x14ac:dyDescent="0.25">
      <c r="A23" s="78"/>
      <c r="B23" s="81">
        <v>3</v>
      </c>
      <c r="C23" s="70" t="s">
        <v>46</v>
      </c>
      <c r="D23" s="59"/>
      <c r="E23" s="59"/>
      <c r="F23" s="59"/>
      <c r="G23" s="60"/>
    </row>
    <row r="24" spans="1:7" ht="20.5" x14ac:dyDescent="0.25">
      <c r="A24" s="78"/>
      <c r="B24" s="79">
        <v>4</v>
      </c>
      <c r="C24" s="70" t="s">
        <v>49</v>
      </c>
      <c r="D24" s="59"/>
      <c r="E24" s="59"/>
      <c r="F24" s="59"/>
      <c r="G24" s="60"/>
    </row>
    <row r="25" spans="1:7" ht="20.5" x14ac:dyDescent="0.25">
      <c r="A25" s="78"/>
      <c r="B25" s="79">
        <v>5</v>
      </c>
      <c r="C25" s="70" t="s">
        <v>51</v>
      </c>
      <c r="D25" s="59"/>
      <c r="E25" s="59"/>
      <c r="F25" s="59"/>
      <c r="G25" s="60"/>
    </row>
    <row r="26" spans="1:7" ht="20.5" x14ac:dyDescent="0.25">
      <c r="A26" s="78"/>
      <c r="B26" s="81">
        <v>6</v>
      </c>
      <c r="C26" s="70" t="s">
        <v>56</v>
      </c>
      <c r="D26" s="59"/>
      <c r="E26" s="59"/>
      <c r="F26" s="59"/>
      <c r="G26" s="60"/>
    </row>
    <row r="27" spans="1:7" ht="20.5" x14ac:dyDescent="0.25">
      <c r="A27" s="78"/>
      <c r="B27" s="79">
        <v>7</v>
      </c>
      <c r="C27" s="70" t="s">
        <v>55</v>
      </c>
      <c r="D27" s="59"/>
      <c r="E27" s="59"/>
      <c r="F27" s="59"/>
      <c r="G27" s="60"/>
    </row>
    <row r="28" spans="1:7" ht="20.5" x14ac:dyDescent="0.25">
      <c r="A28" s="78"/>
      <c r="B28" s="79">
        <v>8</v>
      </c>
      <c r="C28" s="71" t="s">
        <v>59</v>
      </c>
      <c r="D28" s="59"/>
      <c r="E28" s="59"/>
      <c r="F28" s="59"/>
      <c r="G28" s="60"/>
    </row>
    <row r="29" spans="1:7" ht="20.5" x14ac:dyDescent="0.25">
      <c r="A29" s="78"/>
      <c r="B29" s="81">
        <v>9</v>
      </c>
      <c r="C29" s="71" t="s">
        <v>61</v>
      </c>
      <c r="D29" s="59"/>
      <c r="E29" s="59"/>
      <c r="F29" s="59"/>
      <c r="G29" s="60"/>
    </row>
    <row r="30" spans="1:7" ht="20.5" x14ac:dyDescent="0.25">
      <c r="A30" s="78"/>
      <c r="B30" s="79">
        <v>10</v>
      </c>
      <c r="C30" s="70" t="s">
        <v>64</v>
      </c>
      <c r="D30" s="59"/>
      <c r="E30" s="59"/>
      <c r="F30" s="59"/>
      <c r="G30" s="60"/>
    </row>
    <row r="31" spans="1:7" ht="20.5" x14ac:dyDescent="0.25">
      <c r="A31" s="78"/>
      <c r="B31" s="79">
        <v>11</v>
      </c>
      <c r="C31" s="70" t="s">
        <v>70</v>
      </c>
      <c r="D31" s="59"/>
      <c r="E31" s="59"/>
      <c r="F31" s="59"/>
      <c r="G31" s="60"/>
    </row>
    <row r="32" spans="1:7" ht="20.5" x14ac:dyDescent="0.25">
      <c r="A32" s="78"/>
      <c r="B32" s="81">
        <v>12</v>
      </c>
      <c r="C32" s="70" t="s">
        <v>79</v>
      </c>
      <c r="D32" s="59"/>
      <c r="E32" s="59"/>
      <c r="F32" s="59"/>
      <c r="G32" s="60"/>
    </row>
    <row r="33" spans="1:7" ht="20.5" x14ac:dyDescent="0.25">
      <c r="A33" s="78"/>
      <c r="B33" s="79">
        <v>13</v>
      </c>
      <c r="C33" s="70"/>
      <c r="D33" s="59"/>
      <c r="E33" s="59"/>
      <c r="F33" s="59"/>
      <c r="G33" s="60"/>
    </row>
    <row r="34" spans="1:7" ht="20.5" x14ac:dyDescent="0.25">
      <c r="A34" s="78"/>
      <c r="B34" s="79">
        <v>14</v>
      </c>
      <c r="C34" s="71"/>
      <c r="D34" s="59"/>
      <c r="E34" s="59"/>
      <c r="F34" s="59"/>
      <c r="G34" s="60"/>
    </row>
    <row r="35" spans="1:7" ht="20.5" x14ac:dyDescent="0.25">
      <c r="A35" s="78"/>
      <c r="B35" s="81">
        <v>15</v>
      </c>
      <c r="C35" s="71"/>
      <c r="D35" s="59"/>
      <c r="E35" s="59"/>
      <c r="F35" s="59"/>
      <c r="G35" s="60"/>
    </row>
    <row r="36" spans="1:7" ht="20.5" x14ac:dyDescent="0.25">
      <c r="A36" s="78"/>
      <c r="B36" s="79">
        <v>16</v>
      </c>
      <c r="C36" s="70"/>
      <c r="D36" s="59"/>
      <c r="E36" s="59"/>
      <c r="F36" s="59"/>
      <c r="G36" s="60"/>
    </row>
    <row r="37" spans="1:7" ht="20.5" x14ac:dyDescent="0.25">
      <c r="A37" s="78"/>
      <c r="B37" s="79">
        <v>17</v>
      </c>
      <c r="C37" s="70"/>
      <c r="D37" s="59"/>
      <c r="E37" s="59"/>
      <c r="F37" s="59"/>
      <c r="G37" s="60"/>
    </row>
    <row r="38" spans="1:7" ht="20.5" x14ac:dyDescent="0.25">
      <c r="A38" s="78"/>
      <c r="B38" s="81">
        <v>18</v>
      </c>
      <c r="C38" s="70"/>
      <c r="D38" s="59"/>
      <c r="E38" s="59"/>
      <c r="F38" s="59"/>
      <c r="G38" s="60"/>
    </row>
    <row r="39" spans="1:7" ht="20.5" x14ac:dyDescent="0.25">
      <c r="A39" s="78"/>
      <c r="B39" s="79">
        <v>19</v>
      </c>
      <c r="C39" s="70"/>
      <c r="D39" s="59"/>
      <c r="E39" s="59"/>
      <c r="F39" s="59"/>
      <c r="G39" s="60"/>
    </row>
    <row r="40" spans="1:7" ht="20.5" x14ac:dyDescent="0.25">
      <c r="A40" s="78"/>
      <c r="B40" s="79">
        <v>20</v>
      </c>
      <c r="C40" s="71"/>
      <c r="D40" s="59"/>
      <c r="E40" s="59"/>
      <c r="F40" s="59"/>
      <c r="G40" s="60"/>
    </row>
    <row r="41" spans="1:7" ht="20.5" x14ac:dyDescent="0.25">
      <c r="A41" s="78"/>
      <c r="B41" s="81">
        <v>21</v>
      </c>
      <c r="C41" s="71"/>
      <c r="D41" s="59"/>
      <c r="E41" s="59"/>
      <c r="F41" s="59"/>
      <c r="G41" s="60"/>
    </row>
    <row r="42" spans="1:7" ht="20.5" x14ac:dyDescent="0.25">
      <c r="A42" s="78"/>
      <c r="B42" s="79">
        <v>22</v>
      </c>
      <c r="C42" s="70"/>
      <c r="D42" s="59"/>
      <c r="E42" s="59"/>
      <c r="F42" s="59"/>
      <c r="G42" s="60"/>
    </row>
    <row r="43" spans="1:7" ht="20.5" x14ac:dyDescent="0.25">
      <c r="A43" s="78"/>
      <c r="B43" s="79">
        <v>23</v>
      </c>
      <c r="C43" s="70"/>
      <c r="D43" s="59"/>
      <c r="E43" s="59"/>
      <c r="F43" s="59"/>
      <c r="G43" s="60"/>
    </row>
    <row r="44" spans="1:7" ht="20.5" x14ac:dyDescent="0.25">
      <c r="A44" s="78"/>
      <c r="B44" s="81">
        <v>24</v>
      </c>
      <c r="C44" s="70"/>
      <c r="D44" s="59"/>
      <c r="E44" s="59"/>
      <c r="F44" s="59"/>
      <c r="G44" s="60"/>
    </row>
    <row r="45" spans="1:7" ht="21" thickBot="1" x14ac:dyDescent="0.3">
      <c r="A45" s="78"/>
      <c r="B45" s="82">
        <v>25</v>
      </c>
      <c r="C45" s="83"/>
      <c r="D45" s="59"/>
      <c r="E45" s="59"/>
      <c r="F45" s="59"/>
      <c r="G45" s="60"/>
    </row>
    <row r="46" spans="1:7" x14ac:dyDescent="0.25">
      <c r="A46" s="78"/>
      <c r="B46" s="55"/>
      <c r="C46" s="59"/>
      <c r="D46" s="59"/>
      <c r="E46" s="59"/>
      <c r="F46" s="59"/>
      <c r="G46" s="60"/>
    </row>
    <row r="47" spans="1:7" x14ac:dyDescent="0.25">
      <c r="A47" s="78"/>
      <c r="B47" s="59"/>
      <c r="C47" s="59"/>
      <c r="D47" s="59"/>
      <c r="E47" s="59"/>
      <c r="F47" s="59"/>
      <c r="G47" s="60"/>
    </row>
    <row r="48" spans="1:7" x14ac:dyDescent="0.25">
      <c r="A48" s="78"/>
      <c r="B48" s="59"/>
      <c r="C48" s="59"/>
      <c r="D48" s="59"/>
      <c r="E48" s="59"/>
      <c r="F48" s="59"/>
      <c r="G48" s="60"/>
    </row>
    <row r="49" spans="1:7" x14ac:dyDescent="0.25">
      <c r="A49" s="78"/>
      <c r="B49" s="59"/>
      <c r="C49" s="59"/>
      <c r="D49" s="59"/>
      <c r="E49" s="59"/>
      <c r="F49" s="59"/>
      <c r="G49" s="60"/>
    </row>
    <row r="50" spans="1:7" x14ac:dyDescent="0.25">
      <c r="A50" s="78"/>
      <c r="B50" s="59"/>
      <c r="C50" s="59"/>
      <c r="D50" s="59"/>
      <c r="E50" s="59"/>
      <c r="F50" s="59"/>
      <c r="G50" s="60"/>
    </row>
    <row r="51" spans="1:7" x14ac:dyDescent="0.25">
      <c r="A51" s="78"/>
      <c r="B51" s="59"/>
      <c r="C51" s="59"/>
      <c r="D51" s="59"/>
      <c r="E51" s="59"/>
      <c r="F51" s="59"/>
      <c r="G51" s="60"/>
    </row>
    <row r="52" spans="1:7" x14ac:dyDescent="0.25">
      <c r="A52" s="78"/>
      <c r="B52" s="59"/>
      <c r="C52" s="59"/>
      <c r="D52" s="59"/>
      <c r="E52" s="59"/>
      <c r="F52" s="59"/>
      <c r="G52" s="60"/>
    </row>
    <row r="53" spans="1:7" x14ac:dyDescent="0.25">
      <c r="A53" s="78"/>
      <c r="B53" s="59"/>
      <c r="C53" s="59"/>
      <c r="D53" s="59"/>
      <c r="E53" s="59"/>
      <c r="F53" s="59"/>
      <c r="G53" s="60"/>
    </row>
    <row r="54" spans="1:7" ht="13" thickBot="1" x14ac:dyDescent="0.3">
      <c r="A54" s="84"/>
      <c r="B54" s="75"/>
      <c r="C54" s="75"/>
      <c r="D54" s="75"/>
      <c r="E54" s="75"/>
      <c r="F54" s="75"/>
      <c r="G54" s="76"/>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12700</xdr:colOff>
                <xdr:row>5</xdr:row>
                <xdr:rowOff>12700</xdr:rowOff>
              </from>
              <to>
                <xdr:col>6</xdr:col>
                <xdr:colOff>95250</xdr:colOff>
                <xdr:row>7</xdr:row>
                <xdr:rowOff>50800</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12700</xdr:colOff>
                <xdr:row>1</xdr:row>
                <xdr:rowOff>165100</xdr:rowOff>
              </from>
              <to>
                <xdr:col>6</xdr:col>
                <xdr:colOff>76200</xdr:colOff>
                <xdr:row>3</xdr:row>
                <xdr:rowOff>203200</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12700</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defaultColWidth="1.54296875" defaultRowHeight="19.5" customHeight="1" x14ac:dyDescent="0.25"/>
  <cols>
    <col min="1" max="1" width="17.81640625" style="20" customWidth="1"/>
    <col min="2" max="2" width="51.26953125" style="20" customWidth="1"/>
    <col min="3" max="3" width="19.453125" style="20" customWidth="1"/>
    <col min="4" max="16384" width="1.54296875" style="20"/>
  </cols>
  <sheetData>
    <row r="1" spans="1:4" ht="13" thickBot="1" x14ac:dyDescent="0.3">
      <c r="B1" s="21"/>
      <c r="C1" s="21"/>
    </row>
    <row r="2" spans="1:4" ht="42.75" customHeight="1" thickBot="1" x14ac:dyDescent="0.3">
      <c r="A2" s="19"/>
      <c r="B2" s="23" t="s">
        <v>5</v>
      </c>
      <c r="C2" s="15" t="s">
        <v>18</v>
      </c>
    </row>
    <row r="3" spans="1:4" ht="19.5" customHeight="1" x14ac:dyDescent="0.25">
      <c r="A3" s="19"/>
      <c r="B3" s="94" t="s">
        <v>21</v>
      </c>
      <c r="C3" s="16">
        <v>0</v>
      </c>
    </row>
    <row r="4" spans="1:4" ht="19.5" customHeight="1" x14ac:dyDescent="0.25">
      <c r="A4" s="19"/>
      <c r="B4" s="95"/>
      <c r="C4" s="22">
        <v>0</v>
      </c>
      <c r="D4" s="29"/>
    </row>
    <row r="16" spans="1:4" ht="19.5" customHeight="1" x14ac:dyDescent="0.25">
      <c r="A16" s="41"/>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defaultColWidth="10.90625" defaultRowHeight="12.5" x14ac:dyDescent="0.25"/>
  <cols>
    <col min="2" max="2" width="51.81640625" customWidth="1"/>
    <col min="3" max="3" width="35" customWidth="1"/>
  </cols>
  <sheetData>
    <row r="3" spans="2:3" ht="27.75" customHeight="1" x14ac:dyDescent="0.25">
      <c r="B3" s="25" t="s">
        <v>16</v>
      </c>
      <c r="C3" s="27">
        <v>0</v>
      </c>
    </row>
    <row r="4" spans="2:3" ht="18" thickBot="1" x14ac:dyDescent="0.3">
      <c r="B4" s="26" t="s">
        <v>17</v>
      </c>
      <c r="C4" s="28">
        <v>0</v>
      </c>
    </row>
    <row r="39" spans="5:5" ht="13" x14ac:dyDescent="0.3">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H31"/>
  <sheetViews>
    <sheetView workbookViewId="0">
      <selection activeCell="D1" sqref="D1"/>
    </sheetView>
  </sheetViews>
  <sheetFormatPr defaultColWidth="11.453125" defaultRowHeight="12.5" x14ac:dyDescent="0.25"/>
  <cols>
    <col min="1" max="1" width="21.453125" style="20" customWidth="1"/>
    <col min="2" max="2" width="8.54296875" style="20" customWidth="1"/>
    <col min="3" max="3" width="87" style="20" customWidth="1"/>
    <col min="4" max="4" width="44.1796875" style="20" customWidth="1"/>
    <col min="5" max="16384" width="11.453125" style="20"/>
  </cols>
  <sheetData>
    <row r="1" spans="1:4" ht="18" thickBot="1" x14ac:dyDescent="0.3">
      <c r="A1" s="6" t="s">
        <v>14</v>
      </c>
      <c r="B1" s="7">
        <v>1</v>
      </c>
      <c r="C1" s="17"/>
      <c r="D1" s="85"/>
    </row>
    <row r="2" spans="1:4" ht="23.5" thickBot="1" x14ac:dyDescent="0.3">
      <c r="A2" s="8" t="s">
        <v>3</v>
      </c>
      <c r="B2" s="18" t="s">
        <v>15</v>
      </c>
      <c r="C2" s="8" t="s">
        <v>7</v>
      </c>
      <c r="D2" s="8" t="s">
        <v>13</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2"/>
      <c r="B9" s="2"/>
      <c r="C9" s="10"/>
      <c r="D9" s="10"/>
    </row>
    <row r="10" spans="1:4" s="52" customFormat="1" x14ac:dyDescent="0.25">
      <c r="A10" s="2"/>
      <c r="B10" s="2"/>
      <c r="C10" s="10"/>
      <c r="D10" s="10"/>
    </row>
    <row r="11" spans="1:4" s="52" customFormat="1" x14ac:dyDescent="0.25">
      <c r="A11" s="2"/>
      <c r="B11" s="2"/>
      <c r="C11" s="10"/>
      <c r="D11" s="10"/>
    </row>
    <row r="12" spans="1:4" s="52" customFormat="1" ht="13" thickBot="1" x14ac:dyDescent="0.3">
      <c r="A12" s="3"/>
      <c r="B12" s="3"/>
      <c r="C12" s="11"/>
      <c r="D12" s="11"/>
    </row>
    <row r="13" spans="1:4" ht="13" thickBot="1" x14ac:dyDescent="0.3">
      <c r="A13" s="12" t="s">
        <v>22</v>
      </c>
      <c r="B13" s="12">
        <f>SUM(B3:B12)</f>
        <v>0</v>
      </c>
      <c r="C13" s="13"/>
      <c r="D13" s="13"/>
    </row>
    <row r="14" spans="1:4" x14ac:dyDescent="0.25">
      <c r="A14" s="14"/>
      <c r="B14" s="14"/>
      <c r="C14" s="14"/>
      <c r="D14" s="14"/>
    </row>
    <row r="20" spans="1:8" ht="12.75" customHeight="1" x14ac:dyDescent="0.25">
      <c r="A20" s="30"/>
      <c r="B20" s="31"/>
      <c r="C20" s="32"/>
      <c r="D20" s="33"/>
      <c r="F20" s="31"/>
      <c r="G20" s="32"/>
      <c r="H20" s="33"/>
    </row>
    <row r="21" spans="1:8" ht="15" x14ac:dyDescent="0.25">
      <c r="A21" s="30"/>
      <c r="B21" s="34"/>
      <c r="C21" s="30"/>
      <c r="D21" s="30"/>
      <c r="F21" s="34"/>
      <c r="G21" s="30"/>
      <c r="H21" s="30"/>
    </row>
    <row r="22" spans="1:8" x14ac:dyDescent="0.25">
      <c r="A22" s="35"/>
      <c r="B22" s="36"/>
      <c r="C22" s="37"/>
      <c r="D22" s="37"/>
      <c r="F22" s="36"/>
      <c r="G22" s="37"/>
      <c r="H22" s="37"/>
    </row>
    <row r="23" spans="1:8" x14ac:dyDescent="0.25">
      <c r="A23" s="35"/>
      <c r="B23" s="36"/>
      <c r="C23" s="37"/>
      <c r="D23" s="37"/>
      <c r="F23" s="36"/>
      <c r="G23" s="37"/>
      <c r="H23" s="37"/>
    </row>
    <row r="24" spans="1:8" x14ac:dyDescent="0.25">
      <c r="A24" s="35"/>
      <c r="B24" s="36"/>
      <c r="C24" s="37"/>
      <c r="D24" s="37"/>
      <c r="F24" s="36"/>
      <c r="G24" s="37"/>
      <c r="H24" s="37"/>
    </row>
    <row r="25" spans="1:8" x14ac:dyDescent="0.25">
      <c r="A25" s="35"/>
      <c r="B25" s="36"/>
      <c r="C25" s="37"/>
      <c r="D25" s="37"/>
      <c r="F25" s="36"/>
      <c r="G25" s="37"/>
      <c r="H25" s="37"/>
    </row>
    <row r="26" spans="1:8" x14ac:dyDescent="0.25">
      <c r="A26" s="36"/>
      <c r="B26" s="36"/>
      <c r="C26" s="37"/>
      <c r="D26" s="37"/>
      <c r="F26" s="36"/>
      <c r="G26" s="37"/>
      <c r="H26" s="37"/>
    </row>
    <row r="27" spans="1:8" x14ac:dyDescent="0.25">
      <c r="A27" s="36"/>
      <c r="B27" s="36"/>
      <c r="C27" s="37"/>
      <c r="D27" s="37"/>
      <c r="F27" s="36"/>
      <c r="G27" s="37"/>
      <c r="H27" s="37"/>
    </row>
    <row r="28" spans="1:8" x14ac:dyDescent="0.25">
      <c r="A28" s="36"/>
      <c r="B28" s="36"/>
      <c r="C28" s="37"/>
      <c r="D28" s="37"/>
      <c r="F28" s="36"/>
      <c r="G28" s="37"/>
      <c r="H28" s="37"/>
    </row>
    <row r="29" spans="1:8" x14ac:dyDescent="0.25">
      <c r="A29" s="36"/>
      <c r="B29" s="36"/>
      <c r="C29" s="37"/>
      <c r="D29" s="37"/>
      <c r="F29" s="36"/>
      <c r="G29" s="37"/>
      <c r="H29" s="37"/>
    </row>
    <row r="30" spans="1:8" x14ac:dyDescent="0.25">
      <c r="A30" s="38"/>
      <c r="B30" s="38"/>
      <c r="C30" s="39"/>
      <c r="D30" s="39"/>
      <c r="F30" s="38"/>
      <c r="G30" s="39"/>
      <c r="H30" s="39"/>
    </row>
    <row r="31" spans="1:8" x14ac:dyDescent="0.25">
      <c r="A31" s="40"/>
      <c r="B31" s="40"/>
      <c r="C31" s="40"/>
      <c r="D31" s="40"/>
      <c r="F31" s="40"/>
      <c r="G31" s="40"/>
      <c r="H31" s="4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184150</xdr:rowOff>
              </from>
              <to>
                <xdr:col>7</xdr:col>
                <xdr:colOff>260350</xdr:colOff>
                <xdr:row>2</xdr:row>
                <xdr:rowOff>152400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H36"/>
  <sheetViews>
    <sheetView workbookViewId="0">
      <selection activeCell="C28" sqref="C28"/>
    </sheetView>
  </sheetViews>
  <sheetFormatPr defaultColWidth="11.453125" defaultRowHeight="12.5" x14ac:dyDescent="0.25"/>
  <cols>
    <col min="1" max="1" width="21.453125" style="20" customWidth="1"/>
    <col min="2" max="2" width="8.54296875" style="20" customWidth="1"/>
    <col min="3" max="3" width="87" style="20" customWidth="1"/>
    <col min="4" max="4" width="44.1796875" style="20" customWidth="1"/>
    <col min="5" max="16384" width="11.453125" style="20"/>
  </cols>
  <sheetData>
    <row r="1" spans="1:4" ht="18" thickBot="1" x14ac:dyDescent="0.3">
      <c r="A1" s="42" t="s">
        <v>14</v>
      </c>
      <c r="B1" s="43">
        <v>1</v>
      </c>
      <c r="C1" s="44" t="s">
        <v>23</v>
      </c>
      <c r="D1" s="53"/>
    </row>
    <row r="2" spans="1:4" ht="23.5" thickBot="1" x14ac:dyDescent="0.3">
      <c r="A2" s="45" t="s">
        <v>3</v>
      </c>
      <c r="B2" s="46" t="s">
        <v>15</v>
      </c>
      <c r="C2" s="45" t="s">
        <v>7</v>
      </c>
      <c r="D2" s="45" t="s">
        <v>13</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3" thickBot="1" x14ac:dyDescent="0.3">
      <c r="A17" s="3"/>
      <c r="B17" s="3"/>
      <c r="C17" s="11"/>
      <c r="D17" s="11"/>
    </row>
    <row r="18" spans="1:8" ht="13" thickBot="1" x14ac:dyDescent="0.3">
      <c r="A18" s="47" t="s">
        <v>22</v>
      </c>
      <c r="B18" s="47">
        <f>SUM(B3:B17)</f>
        <v>0</v>
      </c>
      <c r="C18" s="48"/>
      <c r="D18" s="48"/>
    </row>
    <row r="19" spans="1:8" x14ac:dyDescent="0.25">
      <c r="A19" s="49"/>
      <c r="B19" s="49"/>
      <c r="C19" s="49"/>
      <c r="D19" s="49"/>
    </row>
    <row r="25" spans="1:8" ht="12.75" customHeight="1" x14ac:dyDescent="0.25">
      <c r="A25" s="30"/>
      <c r="B25" s="31"/>
      <c r="C25" s="32"/>
      <c r="D25" s="33"/>
      <c r="F25" s="31"/>
      <c r="G25" s="32"/>
      <c r="H25" s="33"/>
    </row>
    <row r="26" spans="1:8" ht="15" x14ac:dyDescent="0.25">
      <c r="A26" s="30"/>
      <c r="B26" s="34"/>
      <c r="C26" s="30"/>
      <c r="D26" s="30"/>
      <c r="F26" s="34"/>
      <c r="G26" s="30"/>
      <c r="H26" s="30"/>
    </row>
    <row r="27" spans="1:8" x14ac:dyDescent="0.25">
      <c r="A27" s="35"/>
      <c r="B27" s="36"/>
      <c r="C27" s="37"/>
      <c r="D27" s="37"/>
      <c r="F27" s="36"/>
      <c r="G27" s="37"/>
      <c r="H27" s="37"/>
    </row>
    <row r="28" spans="1:8" x14ac:dyDescent="0.25">
      <c r="A28" s="35"/>
      <c r="B28" s="36"/>
      <c r="C28" s="37"/>
      <c r="D28" s="37"/>
      <c r="F28" s="36"/>
      <c r="G28" s="37"/>
      <c r="H28" s="37"/>
    </row>
    <row r="29" spans="1:8" x14ac:dyDescent="0.25">
      <c r="A29" s="35"/>
      <c r="B29" s="36"/>
      <c r="C29" s="37"/>
      <c r="D29" s="37"/>
      <c r="F29" s="36"/>
      <c r="G29" s="37"/>
      <c r="H29" s="37"/>
    </row>
    <row r="30" spans="1:8" x14ac:dyDescent="0.25">
      <c r="A30" s="35"/>
      <c r="B30" s="36"/>
      <c r="C30" s="37"/>
      <c r="D30" s="37"/>
      <c r="F30" s="36"/>
      <c r="G30" s="37"/>
      <c r="H30" s="37"/>
    </row>
    <row r="31" spans="1:8" x14ac:dyDescent="0.25">
      <c r="A31" s="36"/>
      <c r="B31" s="36"/>
      <c r="C31" s="37"/>
      <c r="D31" s="37"/>
      <c r="F31" s="36"/>
      <c r="G31" s="37"/>
      <c r="H31" s="37"/>
    </row>
    <row r="32" spans="1:8" x14ac:dyDescent="0.25">
      <c r="A32" s="36"/>
      <c r="B32" s="36"/>
      <c r="C32" s="37"/>
      <c r="D32" s="37"/>
      <c r="F32" s="36"/>
      <c r="G32" s="37"/>
      <c r="H32" s="37"/>
    </row>
    <row r="33" spans="1:8" x14ac:dyDescent="0.25">
      <c r="A33" s="36"/>
      <c r="B33" s="36"/>
      <c r="C33" s="37"/>
      <c r="D33" s="37"/>
      <c r="F33" s="36"/>
      <c r="G33" s="37"/>
      <c r="H33" s="37"/>
    </row>
    <row r="34" spans="1:8" x14ac:dyDescent="0.25">
      <c r="A34" s="36"/>
      <c r="B34" s="36"/>
      <c r="C34" s="37"/>
      <c r="D34" s="37"/>
      <c r="F34" s="36"/>
      <c r="G34" s="37"/>
      <c r="H34" s="37"/>
    </row>
    <row r="35" spans="1:8" x14ac:dyDescent="0.25">
      <c r="A35" s="38"/>
      <c r="B35" s="38"/>
      <c r="C35" s="39"/>
      <c r="D35" s="39"/>
      <c r="F35" s="38"/>
      <c r="G35" s="39"/>
      <c r="H35" s="39"/>
    </row>
    <row r="36" spans="1:8" x14ac:dyDescent="0.25">
      <c r="A36" s="40"/>
      <c r="B36" s="40"/>
      <c r="C36" s="40"/>
      <c r="D36" s="40"/>
      <c r="F36" s="40"/>
      <c r="G36" s="40"/>
      <c r="H36" s="4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184150</xdr:rowOff>
              </from>
              <to>
                <xdr:col>7</xdr:col>
                <xdr:colOff>260350</xdr:colOff>
                <xdr:row>2</xdr:row>
                <xdr:rowOff>152400</xdr:rowOff>
              </to>
            </anchor>
          </controlPr>
        </control>
      </mc:Choice>
      <mc:Fallback>
        <control shapeId="38913" r:id="rId4" name="btnImportRealis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BC63B-705A-42F1-A1F0-A4E33D263260}">
  <sheetPr codeName="Feuil9"/>
  <dimension ref="A1:H171"/>
  <sheetViews>
    <sheetView tabSelected="1" topLeftCell="A131" workbookViewId="0">
      <selection activeCell="C141" sqref="C141"/>
    </sheetView>
  </sheetViews>
  <sheetFormatPr defaultColWidth="11.453125" defaultRowHeight="12.5" x14ac:dyDescent="0.25"/>
  <cols>
    <col min="1" max="1" width="21.453125" style="20" customWidth="1"/>
    <col min="2" max="2" width="8.54296875" style="20" customWidth="1"/>
    <col min="3" max="3" width="87" style="20" customWidth="1"/>
    <col min="4" max="4" width="44.1796875" style="20" customWidth="1"/>
    <col min="5" max="16384" width="11.453125" style="20"/>
  </cols>
  <sheetData>
    <row r="1" spans="1:4" ht="18" thickBot="1" x14ac:dyDescent="0.3">
      <c r="A1" s="42" t="s">
        <v>14</v>
      </c>
      <c r="B1" s="43">
        <v>1</v>
      </c>
      <c r="C1" s="44" t="s">
        <v>23</v>
      </c>
      <c r="D1" s="53">
        <f>Donnees!$C$9</f>
        <v>45964</v>
      </c>
    </row>
    <row r="2" spans="1:4" ht="23.5" thickBot="1" x14ac:dyDescent="0.3">
      <c r="A2" s="45" t="s">
        <v>3</v>
      </c>
      <c r="B2" s="46" t="s">
        <v>15</v>
      </c>
      <c r="C2" s="45" t="s">
        <v>7</v>
      </c>
      <c r="D2" s="45" t="s">
        <v>13</v>
      </c>
    </row>
    <row r="3" spans="1:4" s="52" customFormat="1" x14ac:dyDescent="0.25">
      <c r="A3" s="87" t="s">
        <v>29</v>
      </c>
      <c r="B3" s="4">
        <v>2</v>
      </c>
      <c r="C3" s="88" t="s">
        <v>30</v>
      </c>
      <c r="D3" s="9"/>
    </row>
    <row r="4" spans="1:4" s="52" customFormat="1" x14ac:dyDescent="0.25">
      <c r="A4" s="89" t="s">
        <v>32</v>
      </c>
      <c r="B4" s="2">
        <v>2</v>
      </c>
      <c r="C4" s="90" t="s">
        <v>33</v>
      </c>
      <c r="D4" s="10"/>
    </row>
    <row r="5" spans="1:4" s="52" customFormat="1" x14ac:dyDescent="0.25">
      <c r="A5" s="89" t="s">
        <v>31</v>
      </c>
      <c r="B5" s="2">
        <v>4</v>
      </c>
      <c r="C5" s="90" t="s">
        <v>34</v>
      </c>
      <c r="D5" s="10"/>
    </row>
    <row r="6" spans="1:4" s="52" customFormat="1" x14ac:dyDescent="0.25">
      <c r="A6" s="89" t="s">
        <v>35</v>
      </c>
      <c r="B6" s="2">
        <v>2</v>
      </c>
      <c r="C6" s="90" t="s">
        <v>36</v>
      </c>
      <c r="D6" s="10"/>
    </row>
    <row r="7" spans="1:4" s="52" customFormat="1" x14ac:dyDescent="0.25">
      <c r="A7" s="89" t="s">
        <v>35</v>
      </c>
      <c r="B7" s="2">
        <v>2</v>
      </c>
      <c r="C7" s="90" t="s">
        <v>37</v>
      </c>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3" thickBot="1" x14ac:dyDescent="0.3">
      <c r="A17" s="3"/>
      <c r="B17" s="3"/>
      <c r="C17" s="11"/>
      <c r="D17" s="11"/>
    </row>
    <row r="18" spans="1:8" ht="13" thickBot="1" x14ac:dyDescent="0.3">
      <c r="A18" s="47" t="s">
        <v>22</v>
      </c>
      <c r="B18" s="47">
        <f>SUM(B3:B17)</f>
        <v>12</v>
      </c>
      <c r="C18" s="86" t="s">
        <v>28</v>
      </c>
      <c r="D18" s="48"/>
    </row>
    <row r="19" spans="1:8" ht="13" thickBot="1" x14ac:dyDescent="0.3">
      <c r="A19" s="49"/>
      <c r="B19" s="49"/>
      <c r="C19" s="49"/>
      <c r="D19" s="49"/>
    </row>
    <row r="20" spans="1:8" ht="18" thickBot="1" x14ac:dyDescent="0.3">
      <c r="A20" s="42" t="s">
        <v>14</v>
      </c>
      <c r="B20" s="43">
        <v>2</v>
      </c>
      <c r="C20" s="44" t="s">
        <v>23</v>
      </c>
      <c r="D20" s="53">
        <f>$D$1+7</f>
        <v>45971</v>
      </c>
    </row>
    <row r="21" spans="1:8" ht="23.5" thickBot="1" x14ac:dyDescent="0.3">
      <c r="A21" s="45" t="s">
        <v>3</v>
      </c>
      <c r="B21" s="46" t="s">
        <v>15</v>
      </c>
      <c r="C21" s="45" t="s">
        <v>7</v>
      </c>
      <c r="D21" s="45" t="s">
        <v>13</v>
      </c>
    </row>
    <row r="22" spans="1:8" x14ac:dyDescent="0.25">
      <c r="A22" s="87" t="s">
        <v>38</v>
      </c>
      <c r="B22" s="4">
        <v>3</v>
      </c>
      <c r="C22" s="88" t="s">
        <v>39</v>
      </c>
      <c r="D22" s="9"/>
    </row>
    <row r="23" spans="1:8" x14ac:dyDescent="0.25">
      <c r="A23" s="89" t="s">
        <v>38</v>
      </c>
      <c r="B23" s="2">
        <v>3</v>
      </c>
      <c r="C23" s="90" t="s">
        <v>40</v>
      </c>
      <c r="D23" s="10"/>
    </row>
    <row r="24" spans="1:8" x14ac:dyDescent="0.25">
      <c r="A24" s="89" t="s">
        <v>41</v>
      </c>
      <c r="B24" s="2">
        <v>1</v>
      </c>
      <c r="C24" s="90" t="s">
        <v>42</v>
      </c>
      <c r="D24" s="10"/>
    </row>
    <row r="25" spans="1:8" ht="12.75" customHeight="1" x14ac:dyDescent="0.25">
      <c r="A25" s="89" t="s">
        <v>38</v>
      </c>
      <c r="B25" s="2">
        <v>2</v>
      </c>
      <c r="C25" s="90" t="s">
        <v>43</v>
      </c>
      <c r="D25" s="10"/>
      <c r="F25" s="31"/>
      <c r="G25" s="32"/>
      <c r="H25" s="33"/>
    </row>
    <row r="26" spans="1:8" ht="15" x14ac:dyDescent="0.25">
      <c r="A26" s="89" t="s">
        <v>46</v>
      </c>
      <c r="B26" s="2">
        <v>3</v>
      </c>
      <c r="C26" s="90" t="s">
        <v>44</v>
      </c>
      <c r="D26" s="10"/>
      <c r="F26" s="34"/>
      <c r="G26" s="30"/>
      <c r="H26" s="30"/>
    </row>
    <row r="27" spans="1:8" x14ac:dyDescent="0.25">
      <c r="A27" s="1"/>
      <c r="B27" s="2"/>
      <c r="C27" s="10"/>
      <c r="D27" s="10"/>
      <c r="F27" s="36"/>
      <c r="G27" s="37"/>
      <c r="H27" s="37"/>
    </row>
    <row r="28" spans="1:8" x14ac:dyDescent="0.25">
      <c r="A28" s="1"/>
      <c r="B28" s="2"/>
      <c r="C28" s="10"/>
      <c r="D28" s="10"/>
      <c r="F28" s="36"/>
      <c r="G28" s="37"/>
      <c r="H28" s="37"/>
    </row>
    <row r="29" spans="1:8" x14ac:dyDescent="0.25">
      <c r="A29" s="1"/>
      <c r="B29" s="2"/>
      <c r="C29" s="10"/>
      <c r="D29" s="10"/>
      <c r="F29" s="36"/>
      <c r="G29" s="37"/>
      <c r="H29" s="37"/>
    </row>
    <row r="30" spans="1:8" x14ac:dyDescent="0.25">
      <c r="A30" s="1"/>
      <c r="B30" s="2"/>
      <c r="C30" s="10"/>
      <c r="D30" s="10"/>
      <c r="F30" s="36"/>
      <c r="G30" s="37"/>
      <c r="H30" s="37"/>
    </row>
    <row r="31" spans="1:8" x14ac:dyDescent="0.25">
      <c r="A31" s="2"/>
      <c r="B31" s="2"/>
      <c r="C31" s="10"/>
      <c r="D31" s="10"/>
      <c r="F31" s="36"/>
      <c r="G31" s="37"/>
      <c r="H31" s="37"/>
    </row>
    <row r="32" spans="1:8" x14ac:dyDescent="0.25">
      <c r="A32" s="2"/>
      <c r="B32" s="2"/>
      <c r="C32" s="10"/>
      <c r="D32" s="10"/>
      <c r="F32" s="36"/>
      <c r="G32" s="37"/>
      <c r="H32" s="37"/>
    </row>
    <row r="33" spans="1:8" x14ac:dyDescent="0.25">
      <c r="A33" s="2"/>
      <c r="B33" s="2"/>
      <c r="C33" s="10"/>
      <c r="D33" s="10"/>
      <c r="F33" s="36"/>
      <c r="G33" s="37"/>
      <c r="H33" s="37"/>
    </row>
    <row r="34" spans="1:8" x14ac:dyDescent="0.25">
      <c r="A34" s="50"/>
      <c r="B34" s="50"/>
      <c r="C34" s="51"/>
      <c r="D34" s="51"/>
      <c r="F34" s="36"/>
      <c r="G34" s="37"/>
      <c r="H34" s="37"/>
    </row>
    <row r="35" spans="1:8" x14ac:dyDescent="0.25">
      <c r="A35" s="50"/>
      <c r="B35" s="50"/>
      <c r="C35" s="51"/>
      <c r="D35" s="51"/>
      <c r="F35" s="38"/>
      <c r="G35" s="39"/>
      <c r="H35" s="39"/>
    </row>
    <row r="36" spans="1:8" ht="13" thickBot="1" x14ac:dyDescent="0.3">
      <c r="A36" s="3"/>
      <c r="B36" s="3"/>
      <c r="C36" s="11"/>
      <c r="D36" s="11"/>
      <c r="F36" s="40"/>
      <c r="G36" s="40"/>
      <c r="H36" s="40"/>
    </row>
    <row r="37" spans="1:8" ht="13" thickBot="1" x14ac:dyDescent="0.3">
      <c r="A37" s="47" t="s">
        <v>22</v>
      </c>
      <c r="B37" s="47">
        <f>SUM(B22:B36)</f>
        <v>12</v>
      </c>
      <c r="C37" s="86" t="s">
        <v>28</v>
      </c>
      <c r="D37" s="48"/>
    </row>
    <row r="38" spans="1:8" ht="13" thickBot="1" x14ac:dyDescent="0.3">
      <c r="A38" s="49"/>
      <c r="B38" s="49"/>
      <c r="C38" s="49"/>
      <c r="D38" s="49"/>
    </row>
    <row r="39" spans="1:8" ht="18" thickBot="1" x14ac:dyDescent="0.3">
      <c r="A39" s="42" t="s">
        <v>14</v>
      </c>
      <c r="B39" s="43">
        <v>3</v>
      </c>
      <c r="C39" s="44" t="s">
        <v>23</v>
      </c>
      <c r="D39" s="53">
        <f>$D$20+7</f>
        <v>45978</v>
      </c>
    </row>
    <row r="40" spans="1:8" ht="23.5" thickBot="1" x14ac:dyDescent="0.3">
      <c r="A40" s="45" t="s">
        <v>3</v>
      </c>
      <c r="B40" s="46" t="s">
        <v>15</v>
      </c>
      <c r="C40" s="45" t="s">
        <v>7</v>
      </c>
      <c r="D40" s="45" t="s">
        <v>13</v>
      </c>
    </row>
    <row r="41" spans="1:8" ht="25" x14ac:dyDescent="0.25">
      <c r="A41" s="87" t="s">
        <v>45</v>
      </c>
      <c r="B41" s="4">
        <v>1</v>
      </c>
      <c r="C41" s="88" t="s">
        <v>47</v>
      </c>
      <c r="D41" s="9"/>
    </row>
    <row r="42" spans="1:8" ht="25" x14ac:dyDescent="0.25">
      <c r="A42" s="1" t="s">
        <v>38</v>
      </c>
      <c r="B42" s="2">
        <v>2</v>
      </c>
      <c r="C42" s="90" t="s">
        <v>48</v>
      </c>
      <c r="D42" s="10"/>
    </row>
    <row r="43" spans="1:8" ht="37.5" x14ac:dyDescent="0.25">
      <c r="A43" s="1" t="s">
        <v>49</v>
      </c>
      <c r="B43" s="2">
        <v>2</v>
      </c>
      <c r="C43" s="90" t="s">
        <v>50</v>
      </c>
      <c r="D43" s="10"/>
    </row>
    <row r="44" spans="1:8" ht="25" x14ac:dyDescent="0.25">
      <c r="A44" s="1" t="s">
        <v>51</v>
      </c>
      <c r="B44" s="2">
        <v>2</v>
      </c>
      <c r="C44" s="90" t="s">
        <v>52</v>
      </c>
      <c r="D44" s="10"/>
    </row>
    <row r="45" spans="1:8" ht="25" x14ac:dyDescent="0.25">
      <c r="A45" s="89" t="s">
        <v>56</v>
      </c>
      <c r="B45" s="2">
        <v>2</v>
      </c>
      <c r="C45" s="90" t="s">
        <v>53</v>
      </c>
      <c r="D45" s="10"/>
    </row>
    <row r="46" spans="1:8" x14ac:dyDescent="0.25">
      <c r="A46" s="89" t="s">
        <v>56</v>
      </c>
      <c r="B46" s="2">
        <v>1</v>
      </c>
      <c r="C46" s="90" t="s">
        <v>54</v>
      </c>
      <c r="D46" s="10"/>
    </row>
    <row r="47" spans="1:8" x14ac:dyDescent="0.25">
      <c r="A47" s="89" t="s">
        <v>49</v>
      </c>
      <c r="B47" s="2">
        <v>1</v>
      </c>
      <c r="C47" s="90" t="s">
        <v>57</v>
      </c>
      <c r="D47" s="10"/>
    </row>
    <row r="48" spans="1:8" ht="25" x14ac:dyDescent="0.25">
      <c r="A48" s="1" t="s">
        <v>55</v>
      </c>
      <c r="B48" s="2">
        <v>1</v>
      </c>
      <c r="C48" s="90" t="s">
        <v>58</v>
      </c>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0"/>
      <c r="B53" s="50"/>
      <c r="C53" s="51"/>
      <c r="D53" s="51"/>
    </row>
    <row r="54" spans="1:4" x14ac:dyDescent="0.25">
      <c r="A54" s="50"/>
      <c r="B54" s="50"/>
      <c r="C54" s="51"/>
      <c r="D54" s="51"/>
    </row>
    <row r="55" spans="1:4" ht="13" thickBot="1" x14ac:dyDescent="0.3">
      <c r="A55" s="3"/>
      <c r="B55" s="3"/>
      <c r="C55" s="11"/>
      <c r="D55" s="11"/>
    </row>
    <row r="56" spans="1:4" ht="13" thickBot="1" x14ac:dyDescent="0.3">
      <c r="A56" s="47" t="s">
        <v>22</v>
      </c>
      <c r="B56" s="47">
        <f>SUM(B41:B55)</f>
        <v>12</v>
      </c>
      <c r="C56" s="86" t="s">
        <v>28</v>
      </c>
      <c r="D56" s="48"/>
    </row>
    <row r="57" spans="1:4" ht="13" thickBot="1" x14ac:dyDescent="0.3">
      <c r="A57" s="49"/>
      <c r="B57" s="49"/>
      <c r="C57" s="49"/>
      <c r="D57" s="49"/>
    </row>
    <row r="58" spans="1:4" ht="18" thickBot="1" x14ac:dyDescent="0.3">
      <c r="A58" s="42" t="s">
        <v>14</v>
      </c>
      <c r="B58" s="43">
        <v>4</v>
      </c>
      <c r="C58" s="44" t="s">
        <v>23</v>
      </c>
      <c r="D58" s="53">
        <f>$D$39+7</f>
        <v>45985</v>
      </c>
    </row>
    <row r="59" spans="1:4" ht="23.5" thickBot="1" x14ac:dyDescent="0.3">
      <c r="A59" s="45" t="s">
        <v>3</v>
      </c>
      <c r="B59" s="46" t="s">
        <v>15</v>
      </c>
      <c r="C59" s="45" t="s">
        <v>7</v>
      </c>
      <c r="D59" s="45" t="s">
        <v>13</v>
      </c>
    </row>
    <row r="60" spans="1:4" ht="25" x14ac:dyDescent="0.25">
      <c r="A60" s="5" t="s">
        <v>59</v>
      </c>
      <c r="B60" s="4">
        <v>6</v>
      </c>
      <c r="C60" s="88" t="s">
        <v>60</v>
      </c>
      <c r="D60" s="9"/>
    </row>
    <row r="61" spans="1:4" ht="25" x14ac:dyDescent="0.25">
      <c r="A61" s="1" t="s">
        <v>61</v>
      </c>
      <c r="B61" s="2">
        <v>4</v>
      </c>
      <c r="C61" s="90" t="s">
        <v>62</v>
      </c>
      <c r="D61" s="10"/>
    </row>
    <row r="62" spans="1:4" ht="37.5" x14ac:dyDescent="0.25">
      <c r="A62" s="1" t="s">
        <v>55</v>
      </c>
      <c r="B62" s="2">
        <v>2</v>
      </c>
      <c r="C62" s="90" t="s">
        <v>63</v>
      </c>
      <c r="D62" s="10"/>
    </row>
    <row r="63" spans="1:4" x14ac:dyDescent="0.25">
      <c r="A63" s="1"/>
      <c r="B63" s="2"/>
      <c r="C63" s="10"/>
      <c r="D63" s="10"/>
    </row>
    <row r="64" spans="1:4" x14ac:dyDescent="0.25">
      <c r="A64" s="1"/>
      <c r="B64" s="2"/>
      <c r="C64" s="10"/>
      <c r="D64" s="10"/>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0"/>
      <c r="B72" s="50"/>
      <c r="C72" s="51"/>
      <c r="D72" s="51"/>
    </row>
    <row r="73" spans="1:4" x14ac:dyDescent="0.25">
      <c r="A73" s="50"/>
      <c r="B73" s="50"/>
      <c r="C73" s="51"/>
      <c r="D73" s="51"/>
    </row>
    <row r="74" spans="1:4" ht="13" thickBot="1" x14ac:dyDescent="0.3">
      <c r="A74" s="3"/>
      <c r="B74" s="3"/>
      <c r="C74" s="11"/>
      <c r="D74" s="11"/>
    </row>
    <row r="75" spans="1:4" ht="13" thickBot="1" x14ac:dyDescent="0.3">
      <c r="A75" s="47" t="s">
        <v>22</v>
      </c>
      <c r="B75" s="47">
        <f>SUM(B60:B74)</f>
        <v>12</v>
      </c>
      <c r="C75" s="86" t="s">
        <v>28</v>
      </c>
      <c r="D75" s="48"/>
    </row>
    <row r="76" spans="1:4" ht="13" thickBot="1" x14ac:dyDescent="0.3">
      <c r="A76" s="49"/>
      <c r="B76" s="49"/>
      <c r="C76" s="49"/>
      <c r="D76" s="49"/>
    </row>
    <row r="77" spans="1:4" ht="18" thickBot="1" x14ac:dyDescent="0.3">
      <c r="A77" s="42" t="s">
        <v>14</v>
      </c>
      <c r="B77" s="43">
        <v>5</v>
      </c>
      <c r="C77" s="44" t="s">
        <v>23</v>
      </c>
      <c r="D77" s="53">
        <f>$D$58+7</f>
        <v>45992</v>
      </c>
    </row>
    <row r="78" spans="1:4" ht="23.5" thickBot="1" x14ac:dyDescent="0.3">
      <c r="A78" s="45" t="s">
        <v>3</v>
      </c>
      <c r="B78" s="46" t="s">
        <v>15</v>
      </c>
      <c r="C78" s="45" t="s">
        <v>7</v>
      </c>
      <c r="D78" s="45" t="s">
        <v>13</v>
      </c>
    </row>
    <row r="79" spans="1:4" ht="25" x14ac:dyDescent="0.25">
      <c r="A79" s="5" t="s">
        <v>64</v>
      </c>
      <c r="B79" s="4">
        <v>4</v>
      </c>
      <c r="C79" s="88" t="s">
        <v>65</v>
      </c>
      <c r="D79" s="9"/>
    </row>
    <row r="80" spans="1:4" ht="25" x14ac:dyDescent="0.25">
      <c r="A80" s="1" t="s">
        <v>55</v>
      </c>
      <c r="B80" s="2">
        <v>2</v>
      </c>
      <c r="C80" s="90" t="s">
        <v>66</v>
      </c>
      <c r="D80" s="10"/>
    </row>
    <row r="81" spans="1:4" ht="25" x14ac:dyDescent="0.25">
      <c r="A81" s="1" t="s">
        <v>55</v>
      </c>
      <c r="B81" s="2">
        <v>4</v>
      </c>
      <c r="C81" s="90" t="s">
        <v>67</v>
      </c>
      <c r="D81" s="10"/>
    </row>
    <row r="82" spans="1:4" x14ac:dyDescent="0.25">
      <c r="A82" s="1" t="s">
        <v>64</v>
      </c>
      <c r="B82" s="2">
        <v>1</v>
      </c>
      <c r="C82" s="90" t="s">
        <v>68</v>
      </c>
      <c r="D82" s="10"/>
    </row>
    <row r="83" spans="1:4" x14ac:dyDescent="0.25">
      <c r="A83" s="89" t="s">
        <v>69</v>
      </c>
      <c r="B83" s="2">
        <v>1</v>
      </c>
      <c r="C83" s="90" t="s">
        <v>71</v>
      </c>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0"/>
      <c r="B91" s="50"/>
      <c r="C91" s="51"/>
      <c r="D91" s="51"/>
    </row>
    <row r="92" spans="1:4" x14ac:dyDescent="0.25">
      <c r="A92" s="50"/>
      <c r="B92" s="50"/>
      <c r="C92" s="51"/>
      <c r="D92" s="51"/>
    </row>
    <row r="93" spans="1:4" ht="13" thickBot="1" x14ac:dyDescent="0.3">
      <c r="A93" s="3"/>
      <c r="B93" s="3"/>
      <c r="C93" s="11"/>
      <c r="D93" s="11"/>
    </row>
    <row r="94" spans="1:4" ht="13" thickBot="1" x14ac:dyDescent="0.3">
      <c r="A94" s="47" t="s">
        <v>22</v>
      </c>
      <c r="B94" s="47">
        <f>SUM(B79:B93)</f>
        <v>12</v>
      </c>
      <c r="C94" s="86" t="s">
        <v>28</v>
      </c>
      <c r="D94" s="48"/>
    </row>
    <row r="95" spans="1:4" ht="13" thickBot="1" x14ac:dyDescent="0.3">
      <c r="A95" s="49"/>
      <c r="B95" s="49"/>
      <c r="C95" s="49"/>
      <c r="D95" s="49"/>
    </row>
    <row r="96" spans="1:4" ht="18" thickBot="1" x14ac:dyDescent="0.3">
      <c r="A96" s="42" t="s">
        <v>14</v>
      </c>
      <c r="B96" s="43">
        <v>6</v>
      </c>
      <c r="C96" s="44" t="s">
        <v>23</v>
      </c>
      <c r="D96" s="53">
        <f>$D$77+7</f>
        <v>45999</v>
      </c>
    </row>
    <row r="97" spans="1:4" ht="23.5" thickBot="1" x14ac:dyDescent="0.3">
      <c r="A97" s="45" t="s">
        <v>3</v>
      </c>
      <c r="B97" s="46" t="s">
        <v>15</v>
      </c>
      <c r="C97" s="45" t="s">
        <v>7</v>
      </c>
      <c r="D97" s="45" t="s">
        <v>13</v>
      </c>
    </row>
    <row r="98" spans="1:4" x14ac:dyDescent="0.25">
      <c r="A98" s="5" t="s">
        <v>21</v>
      </c>
      <c r="B98" s="4">
        <v>12</v>
      </c>
      <c r="C98" s="88" t="s">
        <v>72</v>
      </c>
      <c r="D98" s="9"/>
    </row>
    <row r="99" spans="1:4" x14ac:dyDescent="0.25">
      <c r="A99" s="1"/>
      <c r="B99" s="2"/>
      <c r="C99" s="10"/>
      <c r="D99" s="10"/>
    </row>
    <row r="100" spans="1:4" x14ac:dyDescent="0.25">
      <c r="A100" s="1"/>
      <c r="B100" s="2"/>
      <c r="C100" s="10"/>
      <c r="D100" s="10"/>
    </row>
    <row r="101" spans="1:4" x14ac:dyDescent="0.25">
      <c r="A101" s="1"/>
      <c r="B101" s="2"/>
      <c r="C101" s="10"/>
      <c r="D101" s="10"/>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0"/>
      <c r="B110" s="50"/>
      <c r="C110" s="51"/>
      <c r="D110" s="51"/>
    </row>
    <row r="111" spans="1:4" x14ac:dyDescent="0.25">
      <c r="A111" s="50"/>
      <c r="B111" s="50"/>
      <c r="C111" s="51"/>
      <c r="D111" s="51"/>
    </row>
    <row r="112" spans="1:4" ht="13" thickBot="1" x14ac:dyDescent="0.3">
      <c r="A112" s="3"/>
      <c r="B112" s="3"/>
      <c r="C112" s="11"/>
      <c r="D112" s="11"/>
    </row>
    <row r="113" spans="1:4" ht="13" thickBot="1" x14ac:dyDescent="0.3">
      <c r="A113" s="47" t="s">
        <v>22</v>
      </c>
      <c r="B113" s="47">
        <f>SUM(B98:B112)</f>
        <v>12</v>
      </c>
      <c r="C113" s="86" t="s">
        <v>28</v>
      </c>
      <c r="D113" s="48"/>
    </row>
    <row r="114" spans="1:4" ht="13" thickBot="1" x14ac:dyDescent="0.3">
      <c r="A114" s="49"/>
      <c r="B114" s="49"/>
      <c r="C114" s="49"/>
      <c r="D114" s="49"/>
    </row>
    <row r="115" spans="1:4" ht="18" thickBot="1" x14ac:dyDescent="0.3">
      <c r="A115" s="42" t="s">
        <v>14</v>
      </c>
      <c r="B115" s="43">
        <v>7</v>
      </c>
      <c r="C115" s="44" t="s">
        <v>23</v>
      </c>
      <c r="D115" s="53">
        <f>$D$96+7</f>
        <v>46006</v>
      </c>
    </row>
    <row r="116" spans="1:4" ht="23.5" thickBot="1" x14ac:dyDescent="0.3">
      <c r="A116" s="45" t="s">
        <v>3</v>
      </c>
      <c r="B116" s="46" t="s">
        <v>15</v>
      </c>
      <c r="C116" s="45" t="s">
        <v>7</v>
      </c>
      <c r="D116" s="45" t="s">
        <v>13</v>
      </c>
    </row>
    <row r="117" spans="1:4" ht="37.5" x14ac:dyDescent="0.25">
      <c r="A117" s="87" t="s">
        <v>70</v>
      </c>
      <c r="B117" s="4">
        <v>6</v>
      </c>
      <c r="C117" s="88" t="s">
        <v>73</v>
      </c>
      <c r="D117" s="9"/>
    </row>
    <row r="118" spans="1:4" ht="25" x14ac:dyDescent="0.25">
      <c r="A118" s="1" t="s">
        <v>70</v>
      </c>
      <c r="B118" s="2">
        <v>3</v>
      </c>
      <c r="C118" s="90" t="s">
        <v>74</v>
      </c>
      <c r="D118" s="10"/>
    </row>
    <row r="119" spans="1:4" x14ac:dyDescent="0.25">
      <c r="A119" s="1" t="s">
        <v>70</v>
      </c>
      <c r="B119" s="2">
        <v>3</v>
      </c>
      <c r="C119" s="90" t="s">
        <v>75</v>
      </c>
      <c r="D119" s="10"/>
    </row>
    <row r="120" spans="1:4" x14ac:dyDescent="0.25">
      <c r="A120" s="1"/>
      <c r="B120" s="2"/>
      <c r="C120" s="10"/>
      <c r="D120" s="10"/>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0"/>
      <c r="B129" s="50"/>
      <c r="C129" s="51"/>
      <c r="D129" s="51"/>
    </row>
    <row r="130" spans="1:4" x14ac:dyDescent="0.25">
      <c r="A130" s="50"/>
      <c r="B130" s="50"/>
      <c r="C130" s="51"/>
      <c r="D130" s="51"/>
    </row>
    <row r="131" spans="1:4" ht="13" thickBot="1" x14ac:dyDescent="0.3">
      <c r="A131" s="3"/>
      <c r="B131" s="3"/>
      <c r="C131" s="11"/>
      <c r="D131" s="11"/>
    </row>
    <row r="132" spans="1:4" ht="13" thickBot="1" x14ac:dyDescent="0.3">
      <c r="A132" s="47" t="s">
        <v>22</v>
      </c>
      <c r="B132" s="47">
        <f>SUM(B117:B131)</f>
        <v>12</v>
      </c>
      <c r="C132" s="86" t="s">
        <v>28</v>
      </c>
      <c r="D132" s="48"/>
    </row>
    <row r="133" spans="1:4" ht="13" thickBot="1" x14ac:dyDescent="0.3">
      <c r="A133" s="49"/>
      <c r="B133" s="49"/>
      <c r="C133" s="49"/>
      <c r="D133" s="49"/>
    </row>
    <row r="134" spans="1:4" ht="18" thickBot="1" x14ac:dyDescent="0.3">
      <c r="A134" s="42" t="s">
        <v>14</v>
      </c>
      <c r="B134" s="43">
        <v>8</v>
      </c>
      <c r="C134" s="44" t="s">
        <v>23</v>
      </c>
      <c r="D134" s="53">
        <f>$D$115+5</f>
        <v>46011</v>
      </c>
    </row>
    <row r="135" spans="1:4" ht="23.5" thickBot="1" x14ac:dyDescent="0.3">
      <c r="A135" s="45" t="s">
        <v>3</v>
      </c>
      <c r="B135" s="46" t="s">
        <v>15</v>
      </c>
      <c r="C135" s="45" t="s">
        <v>7</v>
      </c>
      <c r="D135" s="45" t="s">
        <v>13</v>
      </c>
    </row>
    <row r="136" spans="1:4" x14ac:dyDescent="0.25">
      <c r="A136" s="87" t="s">
        <v>59</v>
      </c>
      <c r="B136" s="4">
        <v>1</v>
      </c>
      <c r="C136" s="88" t="s">
        <v>76</v>
      </c>
      <c r="D136" s="9"/>
    </row>
    <row r="137" spans="1:4" ht="25" x14ac:dyDescent="0.25">
      <c r="A137" s="1" t="s">
        <v>56</v>
      </c>
      <c r="B137" s="2">
        <v>3</v>
      </c>
      <c r="C137" s="90" t="s">
        <v>77</v>
      </c>
      <c r="D137" s="90" t="s">
        <v>78</v>
      </c>
    </row>
    <row r="138" spans="1:4" x14ac:dyDescent="0.25">
      <c r="A138" s="89" t="s">
        <v>79</v>
      </c>
      <c r="B138" s="2">
        <v>2</v>
      </c>
      <c r="C138" s="90" t="s">
        <v>81</v>
      </c>
      <c r="D138" s="91" t="s">
        <v>80</v>
      </c>
    </row>
    <row r="139" spans="1:4" x14ac:dyDescent="0.25">
      <c r="A139" s="1" t="s">
        <v>79</v>
      </c>
      <c r="B139" s="2">
        <v>1</v>
      </c>
      <c r="C139" s="90" t="s">
        <v>82</v>
      </c>
      <c r="D139" s="10"/>
    </row>
    <row r="140" spans="1:4" ht="25" x14ac:dyDescent="0.25">
      <c r="A140" s="1" t="s">
        <v>59</v>
      </c>
      <c r="B140" s="2">
        <v>1</v>
      </c>
      <c r="C140" s="96" t="s">
        <v>83</v>
      </c>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2"/>
      <c r="B145" s="2"/>
      <c r="C145" s="10"/>
      <c r="D145" s="10"/>
    </row>
    <row r="146" spans="1:4" x14ac:dyDescent="0.25">
      <c r="A146" s="2"/>
      <c r="B146" s="2"/>
      <c r="C146" s="10"/>
      <c r="D146" s="10"/>
    </row>
    <row r="147" spans="1:4" x14ac:dyDescent="0.25">
      <c r="A147" s="2"/>
      <c r="B147" s="2"/>
      <c r="C147" s="10"/>
      <c r="D147" s="10"/>
    </row>
    <row r="148" spans="1:4" x14ac:dyDescent="0.25">
      <c r="A148" s="50"/>
      <c r="B148" s="50"/>
      <c r="C148" s="51"/>
      <c r="D148" s="51"/>
    </row>
    <row r="149" spans="1:4" x14ac:dyDescent="0.25">
      <c r="A149" s="50"/>
      <c r="B149" s="50"/>
      <c r="C149" s="51"/>
      <c r="D149" s="51"/>
    </row>
    <row r="150" spans="1:4" ht="13" thickBot="1" x14ac:dyDescent="0.3">
      <c r="A150" s="3"/>
      <c r="B150" s="3"/>
      <c r="C150" s="11"/>
      <c r="D150" s="11"/>
    </row>
    <row r="151" spans="1:4" ht="13" thickBot="1" x14ac:dyDescent="0.3">
      <c r="A151" s="47" t="s">
        <v>22</v>
      </c>
      <c r="B151" s="47">
        <f>SUM(B136:B150)</f>
        <v>8</v>
      </c>
      <c r="C151" s="86" t="s">
        <v>28</v>
      </c>
      <c r="D151" s="48"/>
    </row>
    <row r="152" spans="1:4" ht="13" thickBot="1" x14ac:dyDescent="0.3">
      <c r="A152" s="49"/>
      <c r="B152" s="49"/>
      <c r="C152" s="49"/>
      <c r="D152" s="49"/>
    </row>
    <row r="153" spans="1:4" ht="18" thickBot="1" x14ac:dyDescent="0.3">
      <c r="A153" s="42" t="s">
        <v>14</v>
      </c>
      <c r="B153" s="43">
        <v>8</v>
      </c>
      <c r="C153" s="44" t="s">
        <v>23</v>
      </c>
      <c r="D153" s="53">
        <f>$D$115+21</f>
        <v>46027</v>
      </c>
    </row>
    <row r="154" spans="1:4" ht="23.5" thickBot="1" x14ac:dyDescent="0.3">
      <c r="A154" s="45" t="s">
        <v>3</v>
      </c>
      <c r="B154" s="46" t="s">
        <v>15</v>
      </c>
      <c r="C154" s="45" t="s">
        <v>7</v>
      </c>
      <c r="D154" s="45" t="s">
        <v>13</v>
      </c>
    </row>
    <row r="155" spans="1:4" x14ac:dyDescent="0.25">
      <c r="A155" s="5"/>
      <c r="B155" s="4"/>
      <c r="C155" s="9"/>
      <c r="D155" s="9"/>
    </row>
    <row r="156" spans="1:4" x14ac:dyDescent="0.25">
      <c r="A156" s="1"/>
      <c r="B156" s="2"/>
      <c r="C156" s="10"/>
      <c r="D156" s="10"/>
    </row>
    <row r="157" spans="1:4" x14ac:dyDescent="0.25">
      <c r="A157" s="1"/>
      <c r="B157" s="2"/>
      <c r="C157" s="10"/>
      <c r="D157" s="10"/>
    </row>
    <row r="158" spans="1:4" x14ac:dyDescent="0.25">
      <c r="A158" s="1"/>
      <c r="B158" s="2"/>
      <c r="C158" s="10"/>
      <c r="D158" s="10"/>
    </row>
    <row r="159" spans="1:4" x14ac:dyDescent="0.25">
      <c r="A159" s="1"/>
      <c r="B159" s="2"/>
      <c r="C159" s="10"/>
      <c r="D159" s="10"/>
    </row>
    <row r="160" spans="1:4" x14ac:dyDescent="0.25">
      <c r="A160" s="1"/>
      <c r="B160" s="2"/>
      <c r="C160" s="10"/>
      <c r="D160" s="10"/>
    </row>
    <row r="161" spans="1:4" x14ac:dyDescent="0.25">
      <c r="A161" s="1"/>
      <c r="B161" s="2"/>
      <c r="C161" s="10"/>
      <c r="D161" s="10"/>
    </row>
    <row r="162" spans="1:4" x14ac:dyDescent="0.25">
      <c r="A162" s="1"/>
      <c r="B162" s="2"/>
      <c r="C162" s="10"/>
      <c r="D162" s="10"/>
    </row>
    <row r="163" spans="1:4" x14ac:dyDescent="0.25">
      <c r="A163" s="1"/>
      <c r="B163" s="2"/>
      <c r="C163" s="10"/>
      <c r="D163" s="10"/>
    </row>
    <row r="164" spans="1:4" x14ac:dyDescent="0.25">
      <c r="A164" s="2"/>
      <c r="B164" s="2"/>
      <c r="C164" s="10"/>
      <c r="D164" s="10"/>
    </row>
    <row r="165" spans="1:4" x14ac:dyDescent="0.25">
      <c r="A165" s="2"/>
      <c r="B165" s="2"/>
      <c r="C165" s="10"/>
      <c r="D165" s="10"/>
    </row>
    <row r="166" spans="1:4" x14ac:dyDescent="0.25">
      <c r="A166" s="2"/>
      <c r="B166" s="2"/>
      <c r="C166" s="10"/>
      <c r="D166" s="10"/>
    </row>
    <row r="167" spans="1:4" x14ac:dyDescent="0.25">
      <c r="A167" s="50"/>
      <c r="B167" s="50"/>
      <c r="C167" s="51"/>
      <c r="D167" s="51"/>
    </row>
    <row r="168" spans="1:4" x14ac:dyDescent="0.25">
      <c r="A168" s="50"/>
      <c r="B168" s="50"/>
      <c r="C168" s="51"/>
      <c r="D168" s="51"/>
    </row>
    <row r="169" spans="1:4" ht="13" thickBot="1" x14ac:dyDescent="0.3">
      <c r="A169" s="3"/>
      <c r="B169" s="3"/>
      <c r="C169" s="11"/>
      <c r="D169" s="11"/>
    </row>
    <row r="170" spans="1:4" ht="13" thickBot="1" x14ac:dyDescent="0.3">
      <c r="A170" s="47" t="s">
        <v>22</v>
      </c>
      <c r="B170" s="47">
        <f>SUM(B155:B169)</f>
        <v>0</v>
      </c>
      <c r="C170" s="86" t="s">
        <v>28</v>
      </c>
      <c r="D170" s="48"/>
    </row>
    <row r="171" spans="1:4" x14ac:dyDescent="0.25">
      <c r="A171" s="49"/>
      <c r="B171" s="49"/>
      <c r="C171" s="49"/>
      <c r="D171" s="49"/>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969EE965-E395-4A85-8DAF-137B1B5B079B}">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B60:B74 B79:B93 B98:B112 B117:B131 B155:B169 B136:B150" xr:uid="{F3E651C6-0764-478D-AC0C-5284C1988815}">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70 B151" xr:uid="{8EB3FB10-310C-4BBD-ACE6-01793BC799D4}">
      <formula1>0</formula1>
      <formula2>NbPerWeek * NbQuartPer</formula2>
    </dataValidation>
    <dataValidation type="list" allowBlank="1" showInputMessage="1" showErrorMessage="1" sqref="A3:A17 A22:A36 A41:A55 A60:A74 A79:A93 A98:A112 A117:A131 A155:A169 A136:A150" xr:uid="{F7D29EEA-C727-413D-B4D0-A5A6A028AF9F}">
      <formula1>lstTasks</formula1>
    </dataValidation>
  </dataValidations>
  <hyperlinks>
    <hyperlink ref="D138" r:id="rId1" xr:uid="{A7DB73FE-0ABF-45DB-A93F-A5A14FFC1153}"/>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39937" r:id="rId5" name="btnImportRealisation">
          <controlPr defaultSize="0" autoLine="0" r:id="rId6">
            <anchor moveWithCells="1">
              <from>
                <xdr:col>4</xdr:col>
                <xdr:colOff>590550</xdr:colOff>
                <xdr:row>0</xdr:row>
                <xdr:rowOff>184150</xdr:rowOff>
              </from>
              <to>
                <xdr:col>7</xdr:col>
                <xdr:colOff>260350</xdr:colOff>
                <xdr:row>2</xdr:row>
                <xdr:rowOff>152400</xdr:rowOff>
              </to>
            </anchor>
          </controlPr>
        </control>
      </mc:Choice>
      <mc:Fallback>
        <control shapeId="39937" r:id="rId5" name="btnImportRealis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Belge" ma:contentTypeID="0x0101001ABD9BFFC9E543439C53A2705AE306EF" ma:contentTypeVersion="14" ma:contentTypeDescription="Yeni belge oluşturun." ma:contentTypeScope="" ma:versionID="ee0afad02cec1cb5c008e069b7696935">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071b3019c14a3acff1c11c5229ff0248"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Resim Etiketleri"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ylaşılanla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Ayrıntıları ile Paylaşıldı"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çerik Türü"/>
        <xsd:element ref="dc:title" minOccurs="0" maxOccurs="1" ma:index="4" ma:displayName="Başlık"/>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Props1.xml><?xml version="1.0" encoding="utf-8"?>
<ds:datastoreItem xmlns:ds="http://schemas.openxmlformats.org/officeDocument/2006/customXml" ds:itemID="{15235525-7A96-4FDC-BE0C-FC0EC8076A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83719EA-391A-4C4B-985B-9805B7FCB9D5}">
  <ds:schemaRefs>
    <ds:schemaRef ds:uri="http://schemas.microsoft.com/sharepoint/v3/contenttype/forms"/>
  </ds:schemaRefs>
</ds:datastoreItem>
</file>

<file path=customXml/itemProps3.xml><?xml version="1.0" encoding="utf-8"?>
<ds:datastoreItem xmlns:ds="http://schemas.openxmlformats.org/officeDocument/2006/customXml" ds:itemID="{7C29126A-0525-4FCA-A870-5924A033DD5A}">
  <ds:schemaRefs>
    <ds:schemaRef ds:uri="http://schemas.microsoft.com/office/2006/metadata/properties"/>
    <ds:schemaRef ds:uri="http://schemas.microsoft.com/office/infopath/2007/PartnerControls"/>
    <ds:schemaRef ds:uri="bf2f2df3-a963-4452-b0e7-67dabc627c35"/>
    <ds:schemaRef ds:uri="f7d9f5a6-831d-4621-8c77-cbcaf993e406"/>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10</vt:i4>
      </vt:variant>
    </vt:vector>
  </HeadingPairs>
  <TitlesOfParts>
    <vt:vector size="16" baseType="lpstr">
      <vt:lpstr>Donnees</vt:lpstr>
      <vt:lpstr>DiagramHeader</vt:lpstr>
      <vt:lpstr>DiagramFooter</vt:lpstr>
      <vt:lpstr>PlanificationWeek</vt:lpstr>
      <vt:lpstr>achievementWeek</vt:lpstr>
      <vt:lpstr>JNLTRAV</vt:lpstr>
      <vt:lpstr>datDateBegin</vt:lpstr>
      <vt:lpstr>lstTasks</vt:lpstr>
      <vt:lpstr>NbPerWeek</vt:lpstr>
      <vt:lpstr>NbQuartPer</vt:lpstr>
      <vt:lpstr>NbWeeks</vt:lpstr>
      <vt:lpstr>objFooterDiagram</vt:lpstr>
      <vt:lpstr>objPlanifWeek</vt:lpstr>
      <vt:lpstr>achievementWeek!objRealizedWeek</vt:lpstr>
      <vt:lpstr>JNLTRAV!objRealizedWeek</vt:lpstr>
      <vt:lpstr>Donnees!Print_Area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Maël Andrina Naudet</dc:creator>
  <cp:lastModifiedBy>Maël Andrina Naudet</cp:lastModifiedBy>
  <cp:lastPrinted>2013-08-29T11:33:15Z</cp:lastPrinted>
  <dcterms:created xsi:type="dcterms:W3CDTF">1996-10-21T11:03:58Z</dcterms:created>
  <dcterms:modified xsi:type="dcterms:W3CDTF">2025-12-20T10:19:19Z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